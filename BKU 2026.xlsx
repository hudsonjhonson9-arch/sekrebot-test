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Code\SistemLaporanBarang\"/>
    </mc:Choice>
  </mc:AlternateContent>
  <xr:revisionPtr revIDLastSave="0" documentId="13_ncr:1_{C87F6973-2573-41FB-BFAC-A6C154862862}" xr6:coauthVersionLast="45" xr6:coauthVersionMax="47" xr10:uidLastSave="{00000000-0000-0000-0000-000000000000}"/>
  <bookViews>
    <workbookView xWindow="-120" yWindow="-120" windowWidth="29040" windowHeight="15720" xr2:uid="{00000000-000D-0000-FFFF-FFFF00000000}"/>
  </bookViews>
  <sheets>
    <sheet name="JANUARI" sheetId="21" r:id="rId1"/>
    <sheet name="FEBRUARI" sheetId="5" r:id="rId2"/>
  </sheets>
  <definedNames>
    <definedName name="_xlnm.Print_Area" localSheetId="1">FEBRUARI!$A$1:$G$153</definedName>
    <definedName name="_xlnm.Print_Area" localSheetId="0">JANUARI!$A$1:$G$107</definedName>
    <definedName name="_xlnm.Print_Titles" localSheetId="0">JANUARI!$1:$2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1" i="5" l="1"/>
  <c r="F30" i="5"/>
  <c r="F27" i="5"/>
  <c r="F23" i="5"/>
  <c r="G3" i="5"/>
  <c r="G6" i="5" s="1"/>
  <c r="G7" i="5" s="1"/>
  <c r="G8" i="5" s="1"/>
  <c r="G9" i="5" s="1"/>
  <c r="G10" i="5" s="1"/>
  <c r="G11" i="5" s="1"/>
  <c r="G12" i="5" s="1"/>
  <c r="G13" i="5" s="1"/>
  <c r="G14" i="5" s="1"/>
  <c r="G15" i="5" s="1"/>
  <c r="G16" i="5" s="1"/>
  <c r="G17" i="5" s="1"/>
  <c r="G18" i="5" s="1"/>
  <c r="G19" i="5" s="1"/>
  <c r="G20" i="5" s="1"/>
  <c r="G22" i="5" s="1"/>
  <c r="G23" i="5" l="1"/>
  <c r="G24" i="5" s="1"/>
  <c r="G25" i="5" s="1"/>
  <c r="G26" i="5" s="1"/>
  <c r="G27" i="5" s="1"/>
  <c r="G28" i="5" s="1"/>
  <c r="G29" i="5" s="1"/>
  <c r="G30" i="5" s="1"/>
  <c r="G31" i="5" s="1"/>
  <c r="G32" i="5" s="1"/>
  <c r="G33" i="5" s="1"/>
  <c r="G34" i="5" s="1"/>
  <c r="G35" i="5" s="1"/>
  <c r="G36" i="5" s="1"/>
  <c r="G38" i="5" s="1"/>
  <c r="G39" i="5" s="1"/>
  <c r="G40" i="5" s="1"/>
  <c r="G41" i="5" s="1"/>
  <c r="G42" i="5" s="1"/>
  <c r="G43" i="5" s="1"/>
  <c r="G44" i="5" s="1"/>
  <c r="G45" i="5" s="1"/>
  <c r="G46" i="5" s="1"/>
  <c r="G47" i="5" s="1"/>
  <c r="G48" i="5" s="1"/>
  <c r="G49" i="5" s="1"/>
  <c r="G50" i="5" s="1"/>
  <c r="G51" i="5" s="1"/>
  <c r="G52" i="5" s="1"/>
  <c r="G53" i="5" s="1"/>
  <c r="G54" i="5" s="1"/>
  <c r="G55" i="5" s="1"/>
  <c r="G56" i="5" s="1"/>
  <c r="G57" i="5" s="1"/>
  <c r="G58" i="5" l="1"/>
  <c r="G59" i="5" s="1"/>
  <c r="G60" i="5" s="1"/>
  <c r="G61" i="5" s="1"/>
  <c r="G62" i="5" s="1"/>
  <c r="G63" i="5" s="1"/>
  <c r="G64" i="5" s="1"/>
  <c r="G65" i="5" s="1"/>
  <c r="G66" i="5" s="1"/>
  <c r="G67" i="5" s="1"/>
  <c r="G68" i="5" s="1"/>
  <c r="G69" i="5" s="1"/>
  <c r="G70" i="5" s="1"/>
  <c r="G71" i="5" s="1"/>
  <c r="G72" i="5" s="1"/>
  <c r="G73" i="5" s="1"/>
  <c r="G74" i="5" s="1"/>
  <c r="G75" i="5" s="1"/>
  <c r="G76" i="5" s="1"/>
  <c r="G77" i="5" s="1"/>
  <c r="G78" i="5" s="1"/>
  <c r="G79" i="5" s="1"/>
  <c r="G80" i="5" s="1"/>
  <c r="G81" i="5" s="1"/>
  <c r="G82" i="5" s="1"/>
  <c r="G83" i="5" s="1"/>
  <c r="G84" i="5" s="1"/>
  <c r="G85" i="5" s="1"/>
  <c r="G86" i="5" s="1"/>
  <c r="F31" i="21"/>
  <c r="F30" i="21"/>
  <c r="F27" i="21"/>
  <c r="F23" i="21"/>
  <c r="G3" i="21"/>
  <c r="G6" i="21" l="1"/>
  <c r="G7" i="21" s="1"/>
  <c r="G8" i="21" s="1"/>
  <c r="G9" i="21" s="1"/>
  <c r="G10" i="21" s="1"/>
  <c r="G11" i="21" s="1"/>
  <c r="G12" i="21" s="1"/>
  <c r="G13" i="21" s="1"/>
  <c r="G14" i="21" s="1"/>
  <c r="G15" i="21" s="1"/>
  <c r="G16" i="21" s="1"/>
  <c r="G17" i="21" s="1"/>
  <c r="G18" i="21" s="1"/>
  <c r="G19" i="21" s="1"/>
  <c r="G20" i="21" s="1"/>
  <c r="G22" i="21" s="1"/>
  <c r="G23" i="21" s="1"/>
  <c r="G24" i="21" s="1"/>
  <c r="G25" i="21" s="1"/>
  <c r="G26" i="21" s="1"/>
  <c r="G27" i="21" s="1"/>
  <c r="G28" i="21" s="1"/>
  <c r="G29" i="21" s="1"/>
  <c r="G30" i="21" s="1"/>
  <c r="G31" i="21" s="1"/>
  <c r="G32" i="21" s="1"/>
  <c r="G33" i="21" s="1"/>
  <c r="G34" i="21" s="1"/>
  <c r="G35" i="21" s="1"/>
  <c r="G36" i="21" s="1"/>
  <c r="G38" i="21" s="1"/>
  <c r="G39" i="21" s="1"/>
  <c r="G40" i="21" s="1"/>
  <c r="G41" i="21" s="1"/>
  <c r="G42" i="21" s="1"/>
  <c r="G43" i="21" s="1"/>
  <c r="G44" i="21" s="1"/>
  <c r="G45" i="21" s="1"/>
  <c r="G46" i="21" s="1"/>
  <c r="G47" i="21" s="1"/>
  <c r="G48" i="21" s="1"/>
  <c r="G49" i="21" s="1"/>
  <c r="G50" i="21" s="1"/>
  <c r="G51" i="21" l="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87" i="5" l="1"/>
  <c r="G88" i="5" s="1"/>
  <c r="G89" i="5" s="1"/>
  <c r="G92" i="5" s="1"/>
  <c r="G93" i="5" s="1"/>
  <c r="G94" i="5" l="1"/>
  <c r="G79" i="21"/>
  <c r="G80" i="21" s="1"/>
  <c r="G81" i="21" s="1"/>
  <c r="G82" i="21" s="1"/>
  <c r="G83" i="21" s="1"/>
  <c r="G84" i="21" s="1"/>
  <c r="G95" i="5" l="1"/>
  <c r="G96" i="5" s="1"/>
  <c r="G97" i="5" s="1"/>
  <c r="G98" i="5" s="1"/>
  <c r="G99" i="5" s="1"/>
  <c r="G100" i="5" s="1"/>
  <c r="G101" i="5" s="1"/>
  <c r="G85" i="21"/>
  <c r="G86" i="21" s="1"/>
  <c r="G102" i="5" l="1"/>
  <c r="G103" i="5" s="1"/>
  <c r="G104" i="5" s="1"/>
  <c r="G105" i="5" s="1"/>
  <c r="G106" i="5" s="1"/>
  <c r="G107" i="5" s="1"/>
  <c r="G108" i="5" s="1"/>
  <c r="G87" i="21"/>
  <c r="G88" i="21" s="1"/>
  <c r="G89" i="21" s="1"/>
  <c r="G90" i="21" s="1"/>
  <c r="G91" i="21" s="1"/>
  <c r="G109" i="5" l="1"/>
  <c r="G110" i="5" s="1"/>
  <c r="G111" i="5" s="1"/>
  <c r="G112" i="5" s="1"/>
  <c r="G113" i="5" s="1"/>
  <c r="G114" i="5" s="1"/>
  <c r="G92" i="21"/>
  <c r="G93" i="21" s="1"/>
  <c r="G94" i="21" s="1"/>
  <c r="G95" i="21" s="1"/>
  <c r="G96" i="21" s="1"/>
  <c r="G97" i="21" s="1"/>
  <c r="G98" i="21" s="1"/>
  <c r="G99" i="21" s="1"/>
  <c r="G100" i="21" s="1"/>
  <c r="G101" i="21" s="1"/>
  <c r="G102" i="21" s="1"/>
  <c r="G103" i="21" s="1"/>
  <c r="G104" i="21" s="1"/>
  <c r="G105" i="21" s="1"/>
  <c r="G106" i="21" s="1"/>
  <c r="G115" i="5" l="1"/>
  <c r="G116" i="5" s="1"/>
  <c r="G117" i="5" s="1"/>
  <c r="G118" i="5" s="1"/>
  <c r="G119" i="5" s="1"/>
  <c r="G120" i="5" s="1"/>
  <c r="G121" i="5" l="1"/>
  <c r="G122" i="5" s="1"/>
  <c r="G123" i="5" s="1"/>
  <c r="G124" i="5" s="1"/>
  <c r="G125" i="5" s="1"/>
  <c r="G126" i="5" s="1"/>
  <c r="G127" i="5" s="1"/>
  <c r="G128" i="5" s="1"/>
  <c r="G129" i="5" s="1"/>
  <c r="G130" i="5" s="1"/>
  <c r="G131" i="5" s="1"/>
  <c r="G132" i="5" s="1"/>
  <c r="G133" i="5" s="1"/>
  <c r="G134" i="5" s="1"/>
  <c r="G135" i="5" s="1"/>
  <c r="G136" i="5" s="1"/>
  <c r="G137" i="5" s="1"/>
  <c r="G138" i="5" s="1"/>
  <c r="G139" i="5" s="1"/>
  <c r="G140" i="5" s="1"/>
  <c r="G141" i="5" s="1"/>
  <c r="G142" i="5" s="1"/>
  <c r="G143" i="5" s="1"/>
  <c r="G144" i="5" s="1"/>
  <c r="G145" i="5" s="1"/>
  <c r="G146" i="5" s="1"/>
  <c r="G147" i="5" s="1"/>
  <c r="G148" i="5" s="1"/>
  <c r="G149" i="5" s="1"/>
</calcChain>
</file>

<file path=xl/sharedStrings.xml><?xml version="1.0" encoding="utf-8"?>
<sst xmlns="http://schemas.openxmlformats.org/spreadsheetml/2006/main" count="634" uniqueCount="340">
  <si>
    <t>No</t>
  </si>
  <si>
    <t>Tanggal</t>
  </si>
  <si>
    <t>Uraian</t>
  </si>
  <si>
    <t>Kode Rekening</t>
  </si>
  <si>
    <t xml:space="preserve"> Penerimaan </t>
  </si>
  <si>
    <t xml:space="preserve"> Pengeluaran </t>
  </si>
  <si>
    <t xml:space="preserve"> SALDO </t>
  </si>
  <si>
    <t>Saldo Bulan Lalu</t>
  </si>
  <si>
    <t xml:space="preserve">Gaji Pokok </t>
  </si>
  <si>
    <t>Tunjangan Keluarga</t>
  </si>
  <si>
    <t>Tunjangan Perb Penghasilan</t>
  </si>
  <si>
    <t>Tunjangan Jabatan Struktural</t>
  </si>
  <si>
    <t>Tunjangan Fungsional</t>
  </si>
  <si>
    <t>Tunjangan Fungsional Umum</t>
  </si>
  <si>
    <t>BPJS Kes 4 %</t>
  </si>
  <si>
    <t>Tunjangan Beras</t>
  </si>
  <si>
    <t>Tunjangan Kemahalan Daerah</t>
  </si>
  <si>
    <t>Tunjangan Daerah Terpencil</t>
  </si>
  <si>
    <t>Tunjangan Khusus Pajak pasal 21</t>
  </si>
  <si>
    <t>Iuran Askes</t>
  </si>
  <si>
    <t>JKK</t>
  </si>
  <si>
    <t>JKM</t>
  </si>
  <si>
    <t>Pembulatan Gaji</t>
  </si>
  <si>
    <t>Pemotongan Langsung BUD/Bank</t>
  </si>
  <si>
    <t xml:space="preserve"> </t>
  </si>
  <si>
    <t>PPH Pasal 21</t>
  </si>
  <si>
    <t>Taperum</t>
  </si>
  <si>
    <t>Potongan Perumahan</t>
  </si>
  <si>
    <t>Potongan Bulog</t>
  </si>
  <si>
    <t>Potongan sewa rumah</t>
  </si>
  <si>
    <t>Potongan JKK</t>
  </si>
  <si>
    <t>Potongan JKM</t>
  </si>
  <si>
    <t>Potongan Tapera PK</t>
  </si>
  <si>
    <t>Potongan Tapera Pegawai</t>
  </si>
  <si>
    <t>PU Bank dengan Nomor Cek</t>
  </si>
  <si>
    <t xml:space="preserve">   </t>
  </si>
  <si>
    <t>PU Bank Ke Kas Tunai</t>
  </si>
  <si>
    <t>Iuran Wajib Pegawai 8%</t>
  </si>
  <si>
    <t>Iuran Wajib Pegawai 1%</t>
  </si>
  <si>
    <t>5.1.01.01.01.0001</t>
  </si>
  <si>
    <t>5.1.01.01.02.0001</t>
  </si>
  <si>
    <t>5.1.01.01.03.0001</t>
  </si>
  <si>
    <t>5.1.01.01.04.0001</t>
  </si>
  <si>
    <t>5.1.01.01.05.0001</t>
  </si>
  <si>
    <t>5.1.01.01.09.0001</t>
  </si>
  <si>
    <t>5.1.01.01.06.0001</t>
  </si>
  <si>
    <t>5.1.01.01.07.0001</t>
  </si>
  <si>
    <t>5.1.01.01.11.0001</t>
  </si>
  <si>
    <t>5.1.01.01.10.0001</t>
  </si>
  <si>
    <t>5.1.01.01.08.0001</t>
  </si>
  <si>
    <t>Potongan Lain-lain</t>
  </si>
  <si>
    <t>06-01-2026</t>
  </si>
  <si>
    <t>Gaji Bulan Januari 2026</t>
  </si>
  <si>
    <t>Penerimaan SP2D No : 53.12/04.0/000001/LS/5.01.5.05.0.00.25.0000/M/1/2026</t>
  </si>
  <si>
    <t>Bayar Kepada Charles Hermana Weru S.Sos, dkk</t>
  </si>
  <si>
    <t>Penerimaan SP2D No : 53.12/04.0/000002/UP/5.01.5.05.0.00.25.0000/M/1/2026</t>
  </si>
  <si>
    <t>12-01-2026</t>
  </si>
  <si>
    <t>20-01-2026</t>
  </si>
  <si>
    <t>Penerimaan SP2D No : 53.12/04.0/000003/LS/5.01.5.05.0.00.25.0000/M/1/2026</t>
  </si>
  <si>
    <t>Penerimaan SP2D No : 53.12/04.0/000004/LS/5.01.5.05.0.00.25.0000/M/1/2026</t>
  </si>
  <si>
    <t>Penerimaan SP2D No : 53.12/04.0/000005/LS/5.01.5.05.0.00.25.0000/M/1/2026</t>
  </si>
  <si>
    <t>Penerimaan SP2D No : 53.12/04.0/000006/LS/5.01.5.05.0.00.25.0000/M/1/2026</t>
  </si>
  <si>
    <t>Penerimaan SP2D No : 53.12/04.0/000007/LS/5.01.5.05.0.00.25.0000/M/1/2026</t>
  </si>
  <si>
    <t>Penerimaan SP2D No : 53.12/04.0/00008/LS/5.01.5.05.0.00.25.0000/M/1/2026</t>
  </si>
  <si>
    <t>Bayar biaya belanja lembur penyusunan dokumen Lakip dari kegiatan Koordinasi Penyusunnn Laporan Capian Kinerja dan Ikhtisar Reliasasi Kinerja SKPD Tahun Anggaran 2026 Kepada Yahya Antosari Story,S.IP,dkk</t>
  </si>
  <si>
    <t>5.01.01.2.01.06.5.1.02.01.01.0071</t>
  </si>
  <si>
    <t>Bayar Honorarium Penyuluh atau Pendamping Bulan Januari 2026 dari sub Kegiatan Monitoring, evaluasi dan Penyusunan Laporan Berkala Pelaksanaan Pembangunan Daerah Tahun Anggaran 2026 Kepada Elvira,dkk</t>
  </si>
  <si>
    <t>5.01.02.2.03.03.5.1.02.02.01.00039</t>
  </si>
  <si>
    <t>Bayar biaya belanja lembur dalam rangka penginputan data hasil musrenbang desa/kelurahan pada SIPD RI dari kegiatan Asistensi Penyusunan Dokumen Perencanaan Pembangunan Perangkat Daerah Bidang Pembangunan Manusia Tahun Anggaran 2026 Kepada Fika Martiana,SE,dkk</t>
  </si>
  <si>
    <t>5.01.03.2.01.06.5.1.02.01.01.0071</t>
  </si>
  <si>
    <t>Bayar biaya belanja lembur penyiapan bahan koordinasi musrenbang kecamatan dari kegiatan Penyiapan Bahan Koordinasi Musrenbang Kecamatan  Tahun Anggaran 2026 Kepada Charles Hermana Weru,S.Sos,dkk</t>
  </si>
  <si>
    <t>5.01.02.2.01.06.5.1.02.04.01.0071</t>
  </si>
  <si>
    <t>5.01.03.2.02.02.5.1.02.01.01.0071</t>
  </si>
  <si>
    <t>Bayar biaya belanja lembur penyusunan dokumen rencana kerja pemerintah daerah untuk kegiatan koordinasi dokumen RKPD bidang Ekonomi dari kegiatan Asistensi Penyusunan Dokumen Perencanaan Pembangunan Perangkat Daerah Bidang Perekonomian  Tahun Anggaran 2026 Kepada Alvian Z. T. Kosi, S.Pt,dkk</t>
  </si>
  <si>
    <t>5.01.03.2.02.03.5.1.02.01.01.0071</t>
  </si>
  <si>
    <t>Bayar biaya belanja lembur penyusunan data hasil musrenbang desa/kelurahan program prioritas bidang pembangunan ekonomi dari kegiatan Pelaksanaan Monitoring dan Evaluasi Penyusunan Dokumen Perencanaan Pembangunan Daerah Bidang Perekonomian Tahun Anggaran 2026 Kepada Alvian Z. T. Kosi,S.Pt,dkk</t>
  </si>
  <si>
    <t>13-01-2026</t>
  </si>
  <si>
    <t>5.01.01.2.01.06.5.1.02.01.01.0024</t>
  </si>
  <si>
    <t>5.01.01.2.01.06.5.1.02.01.01.0025</t>
  </si>
  <si>
    <t>5.01.01.2.01.06.5.1.02.01.01.0026</t>
  </si>
  <si>
    <t>5.01.01.2.01.06.5.1.02.01.01.0029</t>
  </si>
  <si>
    <t>15-01-2026</t>
  </si>
  <si>
    <t>5.01.01.2.01.06.5.1.02.01.01.0054</t>
  </si>
  <si>
    <t>5.01.01.2.06.05.5.1.01.01.0026</t>
  </si>
  <si>
    <t>5.01.01.2.06.0009.5.1.02.04.01.0001</t>
  </si>
  <si>
    <t>5.01.01.2.06.10.5.1.02.01.01.0024</t>
  </si>
  <si>
    <t>5.01.01.2.06.10.5.1.02.01.01.0025</t>
  </si>
  <si>
    <t>5.01.01.2.06.10.5.1.02.01.01.0029</t>
  </si>
  <si>
    <t>5.01.01.2.08.0002.5.1.02.02.01.0063</t>
  </si>
  <si>
    <t>Bayar Biaya Belanja Alat/Bahan umtuk kegiatan kantor - Kertas dan Cover dari sub kegiatan Koordinasi dan Penyusunan Laporan Capaian Kinerja dan Ikhtisar Realisasi Kinerja SKPD Tahun Anggaran 2026 kepada Fotocopy, ATK AQIL JAYA An. Kasmun Susanto. (GU 1)</t>
  </si>
  <si>
    <t>Bayar Biaya Belanja Alat/Bahan umtuk kegiatan kantor - Alat Tulis Kantor dari sub kegiatan Koordinasi dan Penyusunan Laporan Capaian Kinerja dan Ikhtisar Realisasi Kinerja SKPD Tahun Anggaran 2026 kepada Fotocopy, ATK AQIL JAYA An. Kasmun Susanto. (GU 1 )</t>
  </si>
  <si>
    <t>Bayar Biaya Belanja Alat/Bahan umtuk kegiatan kantor - Bahan Cetak dari sub kegiatan Koordinasi dan Penyusunan Laporan Capaian Kinerja dan Ikhtisar Realisasi Kinerja SKPD Tahun Anggaran 2026 kepada Fotocopy, ATK AQIL JAYA An. Kasmun Susanto. (GU 1)</t>
  </si>
  <si>
    <t>Bayar Biaya Belanja Alat/Bahan umtuk kegiatan kantor - Bahan Komputer dari sub kegiatan Koordinasi dan Penyusunan Laporan Capaian Kinerja dan Ikhtisar Realisasi Kinerja SKPD Tahun Anggaran 2026 kepada Fotocopy, ATK AQIL JAYA An. Kasmun Susanto. (GU 1)</t>
  </si>
  <si>
    <t>Bayar Biaya Belanja Alat/Bahan umtuk kegiatan kantor - Bahan Cetak dari sub kegiatan Penyediaan Barang Cetakan dan Penggandaan  Tahun Anggaran 2026 kepada Fotocopy, ATK AQIL JAYA An. Kasmun Susanto. (GU 1)</t>
  </si>
  <si>
    <t>Bayar Biaya Belanja Alat/Bahan umtuk kegiatan kantor - Bahan Cetak dari sub kegiatan Penyediaan Barang Cetakan dan Penggandaan  Tahun Anggaran 2026 kepada Fotocopy PALAXXI  An. J. Wanto Sapulete (GU 1)</t>
  </si>
  <si>
    <t>Bayar Biaya Perjalanan Dinas Luar Daerah Kepada Charles Hermana Weru,S.Sos dalam rangka mengikuti Rapat Koordinasi Nasional Sinergi Pelaksanaan Program dan Kegiatan Urusan Pemerintahan Umum di Daerah Guna Mendukung Pelaksanaan Program Prioritas Presiden dan Asta Cita di Jakarta selama 4 Hari dari Sub Kegiatan Penyelennggaraan Rapat Koordinasi dan Konsultasi SKPD Tahun Anggaran 2026.( GU 1)</t>
  </si>
  <si>
    <t>Bayar Biaya Belanja Alat/Bahan umtuk kegiatan kantor -Alat Tulis Kantor dari sub kegiatan  Penatausahaan Arsip Dinamis pada SKPD  Tahun Anggaran 2026 kepada Toko Sumber Baru An. Sunarto Limoa  ( GU 1)</t>
  </si>
  <si>
    <t>Bayar Biaya Belanja Alat/Bahan umtuk kegiatan kantor - Kertas dan Cover dari sub kegiatan  Penatausahaan Arsip Dinamis pada SKPD  Tahun Anggaran 2026 kepada Toko Sumber Baru An. Sunarto Limoa  (GU 1)</t>
  </si>
  <si>
    <t>Bayar Biaya Belanja Alat/Bahan umtuk kegiatan kantor - Bahan Komputer dari sub kegiatan  Penatausahaan Arsip Dinamis pada SKPD  Tahun Anggaran 2026 kepada Toko Sumber Baru An. Sunarto Limoa  (GU 1)</t>
  </si>
  <si>
    <r>
      <t xml:space="preserve">Bayar Biaya Belanja Kawat/Faksimili/Internet/TV Berlangganan (Internet) untuk Bulan Januari Tahun 2026 </t>
    </r>
    <r>
      <rPr>
        <b/>
        <sz val="10"/>
        <rFont val="Times New Roman"/>
        <family val="1"/>
      </rPr>
      <t>@</t>
    </r>
    <r>
      <rPr>
        <sz val="10"/>
        <rFont val="Times New Roman"/>
        <family val="1"/>
      </rPr>
      <t>Rp. 615.000 x 5 Bidang, dari Sub Kegiatan Penyediaan Jasa Komunikasi, Sumber Daya Air dan Listrik TA.2026(PAD), An. Telkom Sumba Barat  (GU 1)</t>
    </r>
  </si>
  <si>
    <t>Bayar Biaya Belanja Alat/Bahan untuk kegiatan kantor - Perabot Kantor dari sub kegiatan  Penyediaan Jasa Pelayanan Umum Kantor  Tahun Anggaran 2026 kepada Toko Sumber Baru An. Sunarto Limoa  (GU 1)</t>
  </si>
  <si>
    <t>5.01.01.2.08.04.5.1.02.01.01.0030</t>
  </si>
  <si>
    <t>Bayar Biaya Belanja Penambah Daya Tahan Tubuh ( Makan Minum Harian Pegawai ) intuk Bulan Januari 2026 dari sub kegiatan  Penyediaan Jasa Pelayanan Umum Kantor  Tahun Anggaran 2026 kepada Kantin Dassa Elu An. Paulina B. Deki ( GU 1)</t>
  </si>
  <si>
    <t>5.01.01.2.08.04.5.1.02.01.01.0054</t>
  </si>
  <si>
    <t>5.01.01.2.09.01.5.1.02.01.01.0004</t>
  </si>
  <si>
    <t>Bayar Biaya Belanja Bahan-Bahan Bakar dan Pelumas untuk kendaraan Dinas roda empat ED.1056.WB dan ED.8045.WB, dari Sub Kegiatan Penyediaan Jasa Pemeliharaan, Biaya Pemeliharaan dan Pajak Kendaraan Perorangan Dinas atau Kendaraan Dinas Jabatan TA.2026(PAD), An. Maria B. A. Bili (GU 1)</t>
  </si>
  <si>
    <t>Bayar Biaya Belanja Bahan-Bahan Bakar dan Pelumas untuk kendaraan Dinas roda empat ED.1056.WB dan ED.8045.WB, dari Sub Kegiatan Penyediaan Jasa Pemeliharaan, Biaya Pemeliharaan dan Pajak Kendaraan Perorangan Dinas atau Kendaraan Dinas Jabatan TA.2026(PAD), An. Agustinus M D (GU 1)</t>
  </si>
  <si>
    <t>5.01.01.2.09.01.5.1.02.01.01.0038</t>
  </si>
  <si>
    <t>Bayar Biaya Belanja Pemeliharaan Alat Angkutan - Alat Angkutan Darat Bermotor - Kendaraan Bermotor Beroda Dua, dari Sub Kegiatan Penyediaan Jasa Pemeliharaan, Biaya Pemeliharaan dan Pajak Kendaraan Perorangan Dinas atau Kendaraan Dinas Jabatan TA.2026(PAD), An. M. Iksan(GU 1)</t>
  </si>
  <si>
    <t>Bayar Biaya Belanja Pemeliharaan Alat Angkutan - Alat Angkutan Darat Bermotor - Kendaraan Bermotor Beroda Dua, dari Sub Kegiatan Penyediaan Jasa Pemeliharaan, Biaya Pemeliharaan dan Pajak Kendaraan Perorangan Dinas atau Kendaraan Dinas Jabatan TA.2026(PAD), An. Zulfikar Tariq (GU 1)</t>
  </si>
  <si>
    <t>14-01-2026</t>
  </si>
  <si>
    <t>Bayar Biaya Belanja Pemeliharaan Alat Angkutan - Alat Angkutan Darat Bermotor - Kendaraan Bermotor Beroda Dua, dari Sub Kegiatan Penyediaan Jasa Pemeliharaan, Biaya Pemeliharaan dan Pajak Kendaraan Perorangan Dinas atau Kendaraan Dinas Jabatan TA.2026(PAD), An. Ali (GU 1)</t>
  </si>
  <si>
    <t>5.01.02.2.01.06.5.1.02.01.01.0024</t>
  </si>
  <si>
    <t>Bayar Biaya Belanja Alat/Bahan umtuk kegiatan kantor -Alat Tulis Kantor dari sub kegiatan  Penyiapan Bahan Koordinasi Musrenbang Kecamatan  Tahun Anggaran 2026 kepada Relasido An. Iddhyariesta Dadhona  ( GU 1)</t>
  </si>
  <si>
    <t>5.01.02.2.01.06.5.1.02.01.01.0025</t>
  </si>
  <si>
    <t>5.01.02.2.01.06.5.1.02.01.01.0026</t>
  </si>
  <si>
    <t>5.01.02.2.01.06.5.1.02.01.01.0029</t>
  </si>
  <si>
    <t>Bayar Biaya Belanja Alat/Bahan umtuk kegiatan kantor -Kertas dan Cover dari sub kegiatan  Penyiapan Bahan Koordinasi Musrenbang Kecamatan  Tahun Anggaran 2026 kepada Relasido An. Iddhyariesta Dadhona  ( GU 1)</t>
  </si>
  <si>
    <t>Bayar Biaya Belanja Alat/Bahan umtuk kegiatan kantor - Bahan Cetak dari sub kegiatan  Penyiapan Bahan Koordinasi Musrenbang Kecamatan  Tahun Anggaran 2026 kepada Relasido An. Iddhyariesta Dadhona  ( GU 1)</t>
  </si>
  <si>
    <t>Bayar Biaya Belanja Alat/Bahan umtuk kegiatan kantor - Bahan Komputer dari sub kegiatan  Penyiapan Bahan Koordinasi Musrenbang Kecamatan  Tahun Anggaran 2026 kepada Relasido An. Iddhyariesta Dadhona  ( GU 1)</t>
  </si>
  <si>
    <t>5.01.02.2.01.06.5.1.02.01.01.0052</t>
  </si>
  <si>
    <t>Bayar Biaya Belanja Makanan dan Minuman Rapat Persiapan Pelaksanaan Musrenbang Kecamatan  dari sub kegiatan  Penyiapan Bahan Koordinasi Musrenbang Kecamatan  Tahun Anggaran 2026 kepada Catering Kenyang Dulu An. Claradisha H Dade  ( GU 1)</t>
  </si>
  <si>
    <t>Bayar Biaya Belanja Alat/Bahan umtuk kegiatan kantor - Alat Tulis Kantor dari sub kegiatan Asistensi Penyusunan Dokumen Perencanaan Pembangunan Daerah Bidang Perekonomian Tahun Anggaran 2026 kepada Fotocopy PALAXXI  An. J. Wanto Sapulete (GU 1)</t>
  </si>
  <si>
    <t>5.01.03.2.02.02.5.1.02.01.01.0024</t>
  </si>
  <si>
    <t>5.01.03.2.02.02.5.1.02.01.01.0025</t>
  </si>
  <si>
    <t>Bayar Biaya Belanja Alat/Bahan umtuk kegiatan kantor - Kertas dan Cover dari sub kegiatan Asistensi Penyusunan Dokumen Perencanaan Pembangunan Daerah Bidang Perekonomian Tahun Anggaran 2026 kepada Fotocopy PALAXXI  An. J. Wanto Sapulete (GU 1)</t>
  </si>
  <si>
    <t>Bayar Biaya Belanja Alat/Bahan umtuk kegiatan kantor - Bahan Cetak dari sub kegiatan Asistensi Penyusunan Dokumen Perencanaan Pembangunan Daerah Bidang Perekonomian Tahun Anggaran 2026 kepada Fotocopy PALAXXI  An. J. Wanto Sapulete (GU 1)</t>
  </si>
  <si>
    <t>5.01.03.2.02.02.5.1.02.01.01.0026</t>
  </si>
  <si>
    <t>5.01.03.2.02.02.5.1.02.01.01.0029</t>
  </si>
  <si>
    <t>Bayar Biaya Belanja Alat/Bahan umtuk kegiatan kantor - Bahan Komputer dari sub kegiatan Asistensi Penyusunan Dokumen Perencanaan Pembangunan Daerah Bidang Perekonomian Tahun Anggaran 2026 kepada Fotocopy PALAXXI  An. J. Wanto Sapulete (GU 1)</t>
  </si>
  <si>
    <t>Bayar Biaya Belanja Alat/Bahan umtuk kegiatan kantor - Alat Tulis Kantor dari sub kegiatan Monitoring dan Evaluasi Penyusunan Dokumen Perencanaan Pembangunan Daerah Bidang Perekonomian Tahun Anggaran 2026 kepada Fotocopy PALAXXI  An. J. Wanto Sapulete (GU 1)</t>
  </si>
  <si>
    <t>5.01.03.2.02.03.5.1.02.01.01.0024</t>
  </si>
  <si>
    <t>Bayar Biaya Belanja Alat/Bahan umtuk kegiatan kantor - Kertas dan Cover dari sub kegiatan Monitoring dan Evaluasi Penyusunan Dokumen Perencanaan Pembangunan Daerah Bidang Perekonomian Tahun Anggaran 2026 kepada Fotocopy PALAXXI  An. J. Wanto Sapulete (GU 1)</t>
  </si>
  <si>
    <t>5.01.03.2.02.03.5.1.02.01.01.0025</t>
  </si>
  <si>
    <t>Bayar Biaya Belanja Alat/Bahan umtuk kegiatan kantor - Bahan Cetak dari sub kegiatan Monitoring dan Evaluasi Penyusunan Dokumen Perencanaan Pembangunan Daerah Bidang Perekonomian Tahun Anggaran 2026 kepada Fotocopy PALAXXI  An. J. Wanto Sapulete (GU 1)</t>
  </si>
  <si>
    <t>5.01.03.2.02.03.5.1.02.01.01.0026</t>
  </si>
  <si>
    <t>5.01.03.2.02.03.5.1.02.01.01.0029</t>
  </si>
  <si>
    <t>Bayar Biaya Belanja Alat/Bahan umtuk kegiatan kantor - Bahan Komputer dari sub kegiatan Monitoring dan Evaluasi Penyusunan Dokumen Perencanaan Pembangunan Daerah Bidang Perekonomian Tahun Anggaran 2026 kepada Fotocopy PALAXXI  An. J. Wanto Sapulete (GU 1)</t>
  </si>
  <si>
    <t>5.01.03.2.02.03.5.1.02.01.01.0054</t>
  </si>
  <si>
    <t>Bayar Biaya Belanja Penambah Daya Tahan Tubuh ( Makan dan Minuman Lembur kegiatan Monitoring dan Evaluasi kegiatan bidang Ekonomi ) dari sub kegiatan Monitoring dan Evaluasi Penyusunan Dokumen Perencanaan Pembangunan Daerah Bidang Perekonomian Tahun Anggaran 2026 kepada  Catering Dapur Selecta An. Hetty Abdurahman (GU 1)</t>
  </si>
  <si>
    <t>5.01.01.2.09.0002.5.1.02.01.01.0035</t>
  </si>
  <si>
    <t>Bayar Biaya Belanja Pemeliharaan Alat Angkutan - Alat Angkutan Darat Bermotor Kendaraan Dinas Bermotor Perorangan Mobil Kaban (ED 8045 WB), dari Sub Kegiatan Penyediaan Jasa Pemeliharaan, Biaya Pemeliharaan dan Pajak Kendaraan Dinas Operasional atau Lapangan TA.2026(PAD), An. M Iksan</t>
  </si>
  <si>
    <t>5.01.01.2.06.10.5.1.02.01.01.0026</t>
  </si>
  <si>
    <t>Bayar Biaya Belanja Alat/Bahan umtuk kegiatan kantor - Bahan Cetak dari sub kegiatan  Penatausahaan Arsip Dinamis pada SKPD  Tahun Anggaran 2026 kepada Fotocopy Aqil Jaya An. Kasmun Susanto  (GU 1)</t>
  </si>
  <si>
    <t>22-01-2026</t>
  </si>
  <si>
    <t>Penerimaan SP2D No: 53.12/04.0/000009/GU/5.01.5.05.0.00.25.0000/M/1/2026</t>
  </si>
  <si>
    <t>23-01-2026</t>
  </si>
  <si>
    <t>Bayar Biaya Belanja Penambah Daya Tahan Tubuh dalam rangka Lembur Penyusunan Dokumen Lakip,LPPD, ANJAB/ABK dan PK dari Sub Kegiatan Koordinasi dan Penyusunan Laporan Capaian Kinerja dan Ikhtisar Realisasi Kinerja SKPD Tahun Anggaran 2026 kepada Catering Dapur Selecta An. Hetty Abdurahman (GU 1)</t>
  </si>
  <si>
    <t>29-01-2026</t>
  </si>
  <si>
    <t>Penerima SP2D No: 53.12/04.0/000010/LS/5.01.5.05.0.00.25.0000/M/1/2026</t>
  </si>
  <si>
    <t>Penerima SP2D No: 53.12/04.0/000011/LS/5.01.5.05.0.00.25.0000/M/1/2026</t>
  </si>
  <si>
    <t>Penerima SP2D No: 53.12/04.0/000012/LS/5.01.5.05.0.00.25.0000/M/1/2026</t>
  </si>
  <si>
    <t xml:space="preserve">Bayar biaya perjalanan dinas dalam daerah dalam rangka persiapan pelaksanaan Musrenbang Kecamatan di Kecamatan Loli dari Sub Kegiatan Penyiapan Bahan Koordinasi Musrenbang Kecamatan Tahun Anggaran 2026 Kepada Charles H. Weru,S.Sos, dkk </t>
  </si>
  <si>
    <t>5.01.02.2.01.006.5.1.02.04.001.00003</t>
  </si>
  <si>
    <t xml:space="preserve">Bayar biaya perjalanan dinas dalam daerah dalam rangka persiapan pelaksanaan Musrenbang Kecamatan di Kecamatan Wanukaka dari Sub Kegiatan Penyiapan Bahan Koordinasi Musrenbang Kecamatan Tahun Anggaran 2026 Kepada Charles H. Weru,S.Sos, dkk </t>
  </si>
  <si>
    <t xml:space="preserve">Bayar biaya perjalanan dinas dalam daerah dalam rangka persiapan pelaksanaan Musrenbang Kecamatan di Kecamatan Laboya Barat dari Sub Kegiatan Penyiapan Bahan Koordinasi Musrenbang Kecamatan Tahun Anggaran 2026 Kepada Imanuel Moses Kalegotana, dkk </t>
  </si>
  <si>
    <t>Bayar biaya perjalanan dinas dalam daerah dalam rangka Mengikuti Kunjungan Kerja DPRD Kabupaten Sumba Barat Tahun 2026 di Kecamatan Loli dari sub kegiatan Asistensi Penyusunan Dokumen Perencanaan Pembangunan Perangkat Bidang Pembangunan Manusia Tahun Anggaran 2026 kepada Fika Martiana,SE.,dkk</t>
  </si>
  <si>
    <t>5.01.03.2.01.0006.5.1.02.04.001.0003</t>
  </si>
  <si>
    <t>Bayar biaya perjalanan dinas dalam daerah dalam rangka Mengikuti Kunjungan Kerja DPRD Kabupaten Sumba Barat Tahun 2026 di Kecamatan Tana Righu dari sub kegiatan Asistensi Penyusunan Dokumen Perencanaan Pembangunan Perangkat Bidang Pembangunan Manusia Tahun Anggaran 2026 kepada Fika Martiana,SE.,dkk</t>
  </si>
  <si>
    <t>Bayar biaya perjalanan dinas dalam daerah dalam rangka Survey Kelayakan Hasil Musrenbang Kecamatan Bidang Infrastruktur di Kecamatan Loli dari Sub Kegiatan Koordinasi Penyusunan Dokumen Perencanaan Pembangunan Daerah Bidang Infrastruktur (RPJPD,RPJMD dan RKPD) kepada Erlan Poro,dkk</t>
  </si>
  <si>
    <t>5.01.03.2.03.01.5.1.02.04.01.0003</t>
  </si>
  <si>
    <t>Bayar biaya perjalanan dinas dalam daerah dalam rangka Survey Kelayakan Hasil Musrenbang Kecamatan Bidang Infrastruktur di Kecamatan Lamboya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</si>
  <si>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Kota Waikabubak  kegiatan Koordinasi Penyusunan Dokumen Perencanaan Pembangunan Daerah Bidang Infrastruktur (RPJPD,RPJMD dan RKPD) kepada Erlan Poro,dkk</t>
  </si>
  <si>
    <t>Bayar biaya perjalanan dinas dalam daerah dalam rangka Survey Kelayakan Hasil Musrenbang Kecamatan Bidang Infrastruktur di Kecamatan Laboya Barat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</si>
  <si>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Wanukaka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</si>
  <si>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Tana Righu dari Sub Kegiatan Koordinasi Penyusunan Dokumen Perencanaan Pembangunan Daerah Bidang Infrastruktur (RPJPD,RPJMD dan RKPD) kepada Erlan Poro,dkk</t>
  </si>
  <si>
    <t>02-02-2026</t>
  </si>
  <si>
    <t>03-02-2026</t>
  </si>
  <si>
    <t>Penerimaan SP2D No: 53.12/04.0/000013/LS/5.01.5.05.0.00.25.0000/M/2/2026</t>
  </si>
  <si>
    <t>Gaji Bulan Februari 2026</t>
  </si>
  <si>
    <t>Penerimaan SP2D No : 53.12/04.0/000014/LS/5.01.5.05.0.00.25.0000/M/2/2026</t>
  </si>
  <si>
    <t>Bayar Honorarium Penyuluh atau Pendamping Bulan Februari 2026 dari sub Kegiatan Monitoring, evaluasi dan Penyusunan Laporan Berkala Pelaksanaan Pembangunan Daerah Tahun Anggaran 2026 Kepada Elvira,dkk</t>
  </si>
  <si>
    <t>Penerimaan SP2D No : 53.12/04.0/000015/LS/5.01.5.05.0.00.25.0000/M/2/2026</t>
  </si>
  <si>
    <t>12-02-2026</t>
  </si>
  <si>
    <t>5.05.03.2.02.04.5.1.02.04.01.0003</t>
  </si>
  <si>
    <t>Bayar biaya perjalanan dinas dalam daerah dalam rangka Survey Lokasi KKN Mahasiswa UGM di Kecamatan Wanukaka  Tanggal 14-15 Januari 2026 dari Sub Kegiatan Fasilitasi dan Pembinaan untuk penyelenggaraan dan pengembangan Klaster Inovasi Berbasis Produk Unggulan Daerah-daerah/atau Mengatasi Permasalahan Daerah Tahun Anggaran 2026 kepada Yahya A. Story,S.IP,dkk</t>
  </si>
  <si>
    <t>Bayar biaya perjalanan dinas dalam daerah dalam rangka Survey Lokasi KKN Mahasiswa UGM di Kecamatan Tana Righu Tanggal 19 - 20 Januari 2026  dari Sub Kegiatan Fasilitasi dan Pembinaan untuk penyelenggaraan dan pengembangan Klaster Inovasi Berbasis Produk Unggulan Daerah-daerah/atau Mengatasi Permasalahan Daerah Tahun Anggaran 2026 kepada Yahya A. Story,S.IP,dkk</t>
  </si>
  <si>
    <t>Bayar biaya perjalanan dinas dalam daerah dalam rangka Survey Lokasi KKN Mahasiswa UGM di Kecamatan Laboya Barat Tanggal 12 - 13 Januari 2026  dari Sub Kegiatan Fasilitasi dan Pembinaan untuk penyelenggaraan dan pengembangan Klaster Inovasi Berbasis Produk Unggulan Daerah-daerah/atau Mengatasi Permasalahan Daerah Tahun Anggaran 2026 kepada Yahya A. Story,S.IP,dkk</t>
  </si>
  <si>
    <t>Penerimaan SP2D No : 53.12/04.0/000016/LS/5.01.5.05.0.00.25.0000/M/2/2026</t>
  </si>
  <si>
    <t>13-02-2026</t>
  </si>
  <si>
    <t>Penerimaan SP2D No : 53.12/04.0/000017/LS/5.01.5.05.0.00.25.0000/M/2/2026</t>
  </si>
  <si>
    <t>5.01.03.2.01.0006.5.1.02.04.01.0003</t>
  </si>
  <si>
    <t>5.01.03.2.01.0002.5.1.02.04.01.0003</t>
  </si>
  <si>
    <t>18-02-2026</t>
  </si>
  <si>
    <t>Penerimaan SP2D No : 53.12/04.0/000019/LS/5.01.5.05.0.00.25.0000/M/2/2026</t>
  </si>
  <si>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BP4D.011.7/38/ST/01/2026 Tanggal 26 Januari 2026 dan SPD Nomor: 221-223/SPPD/2026 Tanggal 26 - 27 Januari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</si>
  <si>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Wanukaka selama 2 hari </t>
    </r>
    <r>
      <rPr>
        <sz val="10"/>
        <color rgb="FF000000"/>
        <rFont val="Times New Roman"/>
        <family val="1"/>
      </rPr>
      <t xml:space="preserve"> sesuai SPT Nomor: BP4D.011.7/55/ST/02/2026 Tanggal 02 Februari  2026 dan SPD Nomor: 339-341/SPPD/2026 Tanggal 02 - 03 Februari  2026 kepada Caesar Calveru El Rambi,S.Ars,dkk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</si>
  <si>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Tana Righu selama 2 hari </t>
    </r>
    <r>
      <rPr>
        <sz val="10"/>
        <color rgb="FF000000"/>
        <rFont val="Times New Roman"/>
        <family val="1"/>
      </rPr>
      <t xml:space="preserve"> sesuai SPT Nomor: BP4D.011.7/58.a/ST/02/2026 Tanggal 04 Februari  2026 dan SPD Nomor: 365-367/SPPD/2026 Tanggal 04 - 05 Februari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</si>
  <si>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Lamboya selama 1 hari </t>
    </r>
    <r>
      <rPr>
        <sz val="10"/>
        <color rgb="FF000000"/>
        <rFont val="Times New Roman"/>
        <family val="1"/>
      </rPr>
      <t xml:space="preserve"> sesuai SPT Nomor: BP4D.011.7/68/ST/02/2026 Tanggal 06 Februari  2026 dan SPD Nomor: 444-446/SPPD/2026 Tanggal 06 Februari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</si>
  <si>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Loli  selama 2 hari </t>
    </r>
    <r>
      <rPr>
        <sz val="10"/>
        <color rgb="FF000000"/>
        <rFont val="Times New Roman"/>
        <family val="1"/>
      </rPr>
      <t xml:space="preserve"> sesuai SPT Nomor: BP4D.011.7/74/ST/02/2026 Tanggal 09 Februari  2026 dan SPD Nomor: 486-487/SPPD/2026 Tanggal 09-10 Februari  2026 kepada Caesar Calveru El Rambi,S.Ars,dkk</t>
    </r>
  </si>
  <si>
    <t>Penerimaan SP2D No : 53.12/04.0/000018/LS/5.01.5.05.0.00.25.0000/M/2/2026</t>
  </si>
  <si>
    <r>
      <t xml:space="preserve">Bayar biaya perjalanan dinas dalam daerah dalam rangka Survey Kelayakan Hasil Musrenbang Desa  Tahun Anggaran 2026 di Kecamatan </t>
    </r>
    <r>
      <rPr>
        <b/>
        <sz val="10"/>
        <color rgb="FF000000"/>
        <rFont val="Times New Roman"/>
        <family val="1"/>
      </rPr>
      <t xml:space="preserve"> Wanukaka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BP4D.011.7/40/ST/01/2026 Tanggal 28 Januari 2026 dan SPD Nomor: 236-243/SPPD/2026 Tanggal 28 Januari 2026 kepada Jackson Ubulele Dade,SE.,M.Acc,dkk</t>
    </r>
  </si>
  <si>
    <t>5.01.02.2.01.0006.5.1.02.04.001.0003</t>
  </si>
  <si>
    <r>
      <t xml:space="preserve">Bayar biaya perjalanan dinas dalam daerah dalam rangka Survey Kelayakan Hasil Musrenbang Desa  Tahun Anggaran 2026 di Kecamatan </t>
    </r>
    <r>
      <rPr>
        <b/>
        <sz val="10"/>
        <color rgb="FF000000"/>
        <rFont val="Times New Roman"/>
        <family val="1"/>
      </rPr>
      <t>Loli</t>
    </r>
    <r>
      <rPr>
        <sz val="10"/>
        <color rgb="FF000000"/>
        <rFont val="Times New Roman"/>
        <family val="1"/>
      </rPr>
      <t xml:space="preserve"> </t>
    </r>
    <r>
      <rPr>
        <b/>
        <sz val="10"/>
        <color rgb="FF000000"/>
        <rFont val="Times New Roman"/>
        <family val="1"/>
      </rPr>
      <t xml:space="preserve">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BP4D.011.7/45/ST/01/2026 Tanggal 29 Januari 2026 dan SPD Nomor: 272-279/SPPD/2026 Tanggal 29 Januari 2026 kepada Jackson Ubulele Dade,SE.,M.Acc,dkk</t>
    </r>
  </si>
  <si>
    <r>
      <t xml:space="preserve">Bayar biaya perjalanan dinas dalam daerah dalam rangka Survey Kelayakan Hasil Musrenbang Desa  Tahun Anggaran 2026 di Kecamatan </t>
    </r>
    <r>
      <rPr>
        <b/>
        <sz val="10"/>
        <color rgb="FF000000"/>
        <rFont val="Times New Roman"/>
        <family val="1"/>
      </rPr>
      <t xml:space="preserve">Tana Righu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BP4D.011.7/49/ST/01/2026 Tanggal 30 Januari 2026 dan SPD Nomor: 294-301/SPPD/2026 Tanggal 30 Januari 2026 kepada Jackson Ubulele Dade,SE.,M.Acc,dkk</t>
    </r>
  </si>
  <si>
    <r>
      <t xml:space="preserve">Bayar biaya perjalanan dinas dalam daerah dalam rangka Survey Kelayakan Hasil Musrenbang Desa  Tahun Anggaran 2026 di Kecamatan </t>
    </r>
    <r>
      <rPr>
        <b/>
        <sz val="10"/>
        <color rgb="FF000000"/>
        <rFont val="Times New Roman"/>
        <family val="1"/>
      </rPr>
      <t xml:space="preserve">Lamboya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BP4D.011.7/76/ST/02/2026 Tanggal 12 Februari  2026 dan SPD Nomor: 497-504/SPPD/2026 Tanggal 12 Februari  2026 kepada Jackson Ubulele Dade,SE.,M.Acc,dkk</t>
    </r>
  </si>
  <si>
    <r>
      <t xml:space="preserve">Bayar biaya perjalanan dinas dalam daerah dalam rangka Persiapan Pelaksanaan Musrenbang Kecamatan  di Kecamatan </t>
    </r>
    <r>
      <rPr>
        <b/>
        <sz val="10"/>
        <color rgb="FF000000"/>
        <rFont val="Times New Roman"/>
        <family val="1"/>
      </rPr>
      <t xml:space="preserve">Tana Righu selama 1 hari </t>
    </r>
    <r>
      <rPr>
        <sz val="10"/>
        <color rgb="FF000000"/>
        <rFont val="Times New Roman"/>
        <family val="1"/>
      </rPr>
      <t xml:space="preserve">dari Sub Kegiatan Penyiapan Bahan Koordinasi Musrenbang Kecamatan Tahun Anggaran 2026 </t>
    </r>
    <r>
      <rPr>
        <b/>
        <sz val="10"/>
        <color rgb="FF000000"/>
        <rFont val="Times New Roman"/>
        <family val="1"/>
      </rPr>
      <t xml:space="preserve"> </t>
    </r>
    <r>
      <rPr>
        <sz val="10"/>
        <color rgb="FF000000"/>
        <rFont val="Times New Roman"/>
        <family val="1"/>
      </rPr>
      <t>sesuai SPT Nomor: BP4D.011.7/24/ST/01/2026 Tanggal 20 Januari dan SPT Nomor: BP4D011.7/24/ST/01/2026  dan SPD Nomor: 116-124/SPPD/2026 Tanggal 20 Januari  2026 kepada Charles Hermana Weru.S,Sos,dkk</t>
    </r>
  </si>
  <si>
    <r>
      <t xml:space="preserve">Bayar biaya perjalanan dinas dalam daerah dalam rangka Persiapan Pelaksanaan Musrenbang Kecamatan  di Kecamatan </t>
    </r>
    <r>
      <rPr>
        <b/>
        <sz val="10"/>
        <color rgb="FF000000"/>
        <rFont val="Times New Roman"/>
        <family val="1"/>
      </rPr>
      <t xml:space="preserve">Lamboya selama 1 hari </t>
    </r>
    <r>
      <rPr>
        <sz val="10"/>
        <color rgb="FF000000"/>
        <rFont val="Times New Roman"/>
        <family val="1"/>
      </rPr>
      <t xml:space="preserve">dari Sub Kegiatan Penyiapan Bahan Koordinasi Musrenbang Kecamatan Tahun Anggaran 2026 </t>
    </r>
    <r>
      <rPr>
        <b/>
        <sz val="10"/>
        <color rgb="FF000000"/>
        <rFont val="Times New Roman"/>
        <family val="1"/>
      </rPr>
      <t xml:space="preserve"> </t>
    </r>
    <r>
      <rPr>
        <sz val="10"/>
        <color rgb="FF000000"/>
        <rFont val="Times New Roman"/>
        <family val="1"/>
      </rPr>
      <t>sesuai SPT Nomor: BP4D.011.7/33/ST/01/2026 Tanggal 23 Januari 2026 dan SPD Nomor: 175-184/SPPD/2026 Tanggal 23 Januari  2026 kepada Imanuel Moses Kalegotana,ST.,M.Si,dkk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</si>
  <si>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Wanukaka selama 2 hari</t>
    </r>
    <r>
      <rPr>
        <sz val="10"/>
        <color rgb="FF000000"/>
        <rFont val="Times New Roman"/>
        <family val="1"/>
      </rPr>
      <t xml:space="preserve"> sesuai SPT Nomor: BP4D.011.7/54/ST/02/2026 Tanggal 02 Februari 2026 dan SPD Nomor: 332-336/SPPD/2026 Tanggal 02 -03 Februari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</si>
  <si>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Lamboya</t>
    </r>
    <r>
      <rPr>
        <sz val="10"/>
        <color rgb="FF000000"/>
        <rFont val="Times New Roman"/>
        <family val="1"/>
      </rPr>
      <t xml:space="preserve"> </t>
    </r>
    <r>
      <rPr>
        <b/>
        <sz val="10"/>
        <color rgb="FF000000"/>
        <rFont val="Times New Roman"/>
        <family val="1"/>
      </rPr>
      <t>selama 2 hari</t>
    </r>
    <r>
      <rPr>
        <sz val="10"/>
        <color rgb="FF000000"/>
        <rFont val="Times New Roman"/>
        <family val="1"/>
      </rPr>
      <t xml:space="preserve"> sesuai SPT Nomor: BP4D.011.7/63/ST/02/2026 Tanggal 06 Februari 2026  dan SPD Nomor: 404-408/SPPD/2026 Tanggal 06 -07 Februari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</si>
  <si>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Laboya Barat</t>
    </r>
    <r>
      <rPr>
        <sz val="10"/>
        <color rgb="FF000000"/>
        <rFont val="Times New Roman"/>
        <family val="1"/>
      </rPr>
      <t xml:space="preserve"> selama 2 hari sesuai SPT Nomor: BP4D.011.7/37/ST/01/2026 Tanggal 26 Januari 2026  dan SPD Nomor: 215-219/SPPD/2026 Tanggal 26-27 Januari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</si>
  <si>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 xml:space="preserve">Loli selama 2 hari </t>
    </r>
    <r>
      <rPr>
        <sz val="10"/>
        <color rgb="FF000000"/>
        <rFont val="Times New Roman"/>
        <family val="1"/>
      </rPr>
      <t xml:space="preserve"> sesuai SPT Nomor: BP4D.011.7/72/ST/02/2026 Tanggal 09 Februari 2026  dan SPD Nomor: 479-483/SPPD/2026 Tanggal 09 - 10 Februari 2026,  kepada Binoni Saubaki,ST,dkk</t>
    </r>
  </si>
  <si>
    <r>
      <t xml:space="preserve">Bayar biaya perjalanan dinas dalam daerah dalam rangka Koordinasi Bidang Pendidikan dan Kesehatan (Kegiatan Musrenbang RKPD TA. 2027 Tingkat Kecamatan ) dari Sub Kegiatan  Asistensi Penyusunan Dokumen Perencanaan Pembangunan Perangkat Daerah Bidang Pembangunan Manusia Tahun Anggaran 2026 di Kecamatan </t>
    </r>
    <r>
      <rPr>
        <b/>
        <sz val="10"/>
        <color rgb="FF000000"/>
        <rFont val="Times New Roman"/>
        <family val="1"/>
      </rPr>
      <t>Tana Righu</t>
    </r>
    <r>
      <rPr>
        <sz val="10"/>
        <color rgb="FF000000"/>
        <rFont val="Times New Roman"/>
        <family val="1"/>
      </rPr>
      <t xml:space="preserve"> selama 2 hari sesuai SPT Nomor: BP4D.011.7/56/ST/02/2026 Tanggal 04 Februari 2026  dan SPD Nomor: 368-371/SPPD/2026 Tanggal 04 - 05 Februari 2026,  kepada Binoni Saubaki,ST,dkk</t>
    </r>
  </si>
  <si>
    <t>19-02-2026</t>
  </si>
  <si>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BP4D.011.7/35-36/53.12/01/2026 Tanggal 23 Januari  2026 dan SPD Nomor: 193-215/SPPD/2026 Tanggal 26 - 27 Januari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</si>
  <si>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Wanukaka  selama 2 hari </t>
    </r>
    <r>
      <rPr>
        <sz val="10"/>
        <color rgb="FF000000"/>
        <rFont val="Times New Roman"/>
        <family val="1"/>
      </rPr>
      <t xml:space="preserve"> sesuai SPT Nomor: BP4D.011.7/51-52/53.12/01/2026 Tanggal 23 Januari  2026 dan SPD Nomor: 308-329/SPPD/2026 Tanggal 02 - 03  Februari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</si>
  <si>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Tana Righu selama 2 hari </t>
    </r>
    <r>
      <rPr>
        <sz val="10"/>
        <color rgb="FF000000"/>
        <rFont val="Times New Roman"/>
        <family val="1"/>
      </rPr>
      <t xml:space="preserve"> sesuai SPT Nomor: BP4D.011.7/60-61/15.13/01/2026 Tanggal 23 Januari  2026 dan SPD Nomor: 378-399/SPPD/2026 Tanggal 04 - 05 Februari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</si>
  <si>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Lamboya selama 2 hari </t>
    </r>
    <r>
      <rPr>
        <sz val="10"/>
        <color rgb="FF000000"/>
        <rFont val="Times New Roman"/>
        <family val="1"/>
      </rPr>
      <t xml:space="preserve"> sesuai SPT Nomor: BP4D.011.7/66-67/53.12/02/2026 Tanggal 05 Februari  2026 dan SPD Nomor: 421-443/SPPD/2026 Tanggal 06 - 07 Februari  2026 kepada Charles Hermana Wer,S.Sos,dkk</t>
    </r>
  </si>
  <si>
    <t>Penerimaan SP2D No : 53.12/04.0/000021/LS/5.01.5.05.0.00.25.0000/M/2/2026</t>
  </si>
  <si>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Loli selama 2 hari </t>
    </r>
    <r>
      <rPr>
        <sz val="10"/>
        <color rgb="FF000000"/>
        <rFont val="Times New Roman"/>
        <family val="1"/>
      </rPr>
      <t xml:space="preserve"> sesuai SPT Nomor: BP4D.011.7/70-71/53.12/01/2026 Tanggal 23 Januari  2026 dan SPD Nomor: 421-443/SPPD/2026 Tanggal 09-10 Februari  2026 kepada Charles Hermana Wer,S.Sos,dkk</t>
    </r>
  </si>
  <si>
    <t>Penerimaan SP2D No : 53.12/04.0/000020/LS/5.01.5.05.0.00.25.0000/M/2/2026</t>
  </si>
  <si>
    <r>
      <t xml:space="preserve">Bayar biaya perjalanan dinas dalam daerah dalam rangka mengikuti kegiatan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BP4D.011.7/34/53.12/ST/01/2026 Tanggal 26 Januari   2026 dan SPD Nomor: 185-186/SPPD/2026 Tanggal 26 - 27  Januari 2026 Kepada Elvis Pote Leba,SE,dkk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</si>
  <si>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Loli selama 1 hari </t>
    </r>
    <r>
      <rPr>
        <sz val="10"/>
        <color rgb="FF000000"/>
        <rFont val="Times New Roman"/>
        <family val="1"/>
      </rPr>
      <t xml:space="preserve"> sesuai SPT Nomor: BP4D.011.7/32/53.12/ST/01/2026 Tanggal 23 Januari   2026 dan SPD Nomor: 169-173/SPPD/2026 Tanggal 23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</si>
  <si>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Tana Righu selama 1 hari </t>
    </r>
    <r>
      <rPr>
        <sz val="10"/>
        <color rgb="FF000000"/>
        <rFont val="Times New Roman"/>
        <family val="1"/>
      </rPr>
      <t xml:space="preserve"> sesuai SPT Nomor: BP4D.011.7/31/53.12/ST/01/2026 Tanggal 22 Januari   2026 dan SPD Nomor: 164-168/SPPD/2026 Tanggal 22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</si>
  <si>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Lamboya selama 1 hari </t>
    </r>
    <r>
      <rPr>
        <sz val="10"/>
        <color rgb="FF000000"/>
        <rFont val="Times New Roman"/>
        <family val="1"/>
      </rPr>
      <t xml:space="preserve"> sesuai SPT Nomor: BP4D.011.7/29/53.12/ST/01/2026 Tanggal 21 Januari   2026 dan SPD Nomor: 149-153/SPPD/2026 Tanggal 21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</si>
  <si>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Wanukaka  selama 1 hari </t>
    </r>
    <r>
      <rPr>
        <sz val="10"/>
        <color rgb="FF000000"/>
        <rFont val="Times New Roman"/>
        <family val="1"/>
      </rPr>
      <t xml:space="preserve"> sesuai SPT Nomor: BP4D.011.7/23.a/53.12/ST/01/2026 Tanggal 20 Januari   2026 dan SPD Nomor: 115.a-115.e/SPPD/2026 Tanggal 20 Januari 2026 Kepada Alvian Z.T. Kosi,S.Pt,dkk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</si>
  <si>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Tana Righu selama 2 hari </t>
    </r>
    <r>
      <rPr>
        <sz val="10"/>
        <color rgb="FF000000"/>
        <rFont val="Times New Roman"/>
        <family val="1"/>
      </rPr>
      <t xml:space="preserve"> sesuai SPT Nomor: BP4D.011.7/58/53.12/ST/02/2026 Tanggal 04 Februari  2026 dan SPD Nomor: 363-364.a/SPPD/2026 Tanggal 04 - 05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</si>
  <si>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Lamboya selama 2 hari </t>
    </r>
    <r>
      <rPr>
        <sz val="10"/>
        <color rgb="FF000000"/>
        <rFont val="Times New Roman"/>
        <family val="1"/>
      </rPr>
      <t xml:space="preserve"> sesuai SPT Nomor: BP4D.011.7/62/53.12/ST/02/2026 Tanggal 06 Februari  2026 dan SPD Nomor: 400-401/SPPD/2026 Tanggal 06 - 07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</si>
  <si>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Loli selama 2 hari </t>
    </r>
    <r>
      <rPr>
        <sz val="10"/>
        <color rgb="FF000000"/>
        <rFont val="Times New Roman"/>
        <family val="1"/>
      </rPr>
      <t xml:space="preserve"> sesuai SPT Nomor: BP4D.011.7/73/53.12/ST/02/2026 Tanggal 09 Februari  2026 dan SPD Nomor: 484-485.a/SPPD/2026 Tanggal 09 - 10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</si>
  <si>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Wanukaka selama 2 hari </t>
    </r>
    <r>
      <rPr>
        <sz val="10"/>
        <color rgb="FF000000"/>
        <rFont val="Times New Roman"/>
        <family val="1"/>
      </rPr>
      <t xml:space="preserve"> sesuai SPT Nomor: BP4D.011.7/53/53.12/ST/02/2026 Tanggal 02 Februari  2026 dan SPD Nomor: 330-331.a/SPPD/2026 Tanggal 02 - 03 Februari 2026 Kepada Cherryllena T. Matheos,SST.Par,dkk</t>
    </r>
  </si>
  <si>
    <t>25-02-2026</t>
  </si>
  <si>
    <t>Penerimaan SP2D No : 53.12/04.0/000022/LS/5.01.5.05.0.00.25.0000/M/2/2026</t>
  </si>
  <si>
    <t>5.01.03.2.03.04.5.1.02.10.01.0071</t>
  </si>
  <si>
    <t>Bayar biaya belanja lembur dalam rangka Pelaksanaan Koordinasi Penyusunan Dokumen Perencanaan Bidang Infrastrukut dari Sub Kegiatan Koordinasi Penyusunan Dokumen Perencanaan Pembangunan Daerah Bidang Infrastruktur (RPJPD,RPJMD dan RKPD) Tahun Anggaran 2026 Kepada Erlan Poro,ST.,M.Sc,dkk</t>
  </si>
  <si>
    <t>Bayar Biaya Belanja Alat/Bahan umtuk kegiatan kantor - Bahan Cetak dari sub kegiatan Koordinasi dan Penyusunan Laporan Capaian Kinerja dan Ikhtisar Realisasi Kinerja SKPD Tahun Anggaran 2026 kepada Fotocopy, ATK AQIL JAYA An. Kasmun Susanto. (GU 2)</t>
  </si>
  <si>
    <t>Bayar Biaya Belanja Alat/Bahan umtuk kegiatan kantor - Bahan Cetak dari sub kegiatan Penyediaan Barang Cetakan dan Penggandaan  Tahun Anggaran 2026 kepada Fotocopy, ATK AQIL JAYA An. Kasmun Susanto. (GU 2)</t>
  </si>
  <si>
    <t>04-02-2026</t>
  </si>
  <si>
    <t>23-02-2026</t>
  </si>
  <si>
    <t>Bayar Biaya Perjalanan Dinas Luar Daerah  Dalam Rangka Mengikuti Rapat Koordinasi Diseminasi Kajian Dampak Efisiensi Anggaran terhadap Pembangunan Daerah Tertinggal di Bappelitbangda Sumba Tengah dari Sub Kegiatan Penyelenggaraan Rapat Koordinasi dan Konsultasi SKPD Tahun Anggaran 2026 kepada Yahya A. Story,S.IP,dkk</t>
  </si>
  <si>
    <t>Bayar biaya belanja Alat/Bahan umtuk kegiatan kantor - Alat Listrik dari Sub Kegiatan Penyediaan Komponen Instalasi Listrik/Penerangan Bangunan Kantor Tahun Anggaran 2026 Kepada CV. Sumber Karya Abadi An. Sunarto Limoa (GU2)</t>
  </si>
  <si>
    <t>5.01.01.2.06.0001.5.1.02.01.01.0031</t>
  </si>
  <si>
    <r>
      <t xml:space="preserve">Bayar Biaya Belanja Kawat/Faksimili/Internet/TV Berlangganan (Internet) untuk Bulan Februari Tahun 2026 </t>
    </r>
    <r>
      <rPr>
        <b/>
        <sz val="10"/>
        <rFont val="Times New Roman"/>
        <family val="1"/>
      </rPr>
      <t>@</t>
    </r>
    <r>
      <rPr>
        <sz val="10"/>
        <rFont val="Times New Roman"/>
        <family val="1"/>
      </rPr>
      <t>Rp. 615.000 x 5 Bidang, dari Sub Kegiatan Penyediaan Jasa Komunikasi, Sumber Daya Air dan Listrik TA.2026(PAD), An. Telkom Sumba Barat  (GU 2)</t>
    </r>
  </si>
  <si>
    <t>5.01.01.2.08.0003.5.1.02.03.02.0405</t>
  </si>
  <si>
    <t>Bayar Biaya Belanja Pemeliharaan Alat Kantor dan Rumah Tangga - Alat Kantor Lainnya, dari Sub Kegiatan Penyediaan Jasa Peralatan dan Perlengkapan Kantor Tahun Anggaran 2026 (PAD), An. Jaya Elelctro Service (GU 2)</t>
  </si>
  <si>
    <t>Bayar Biaya Belanja Penambah Daya Tahan Tubuh ( Makan Minum Harian Pegawai ) intuk Bulan Januari 2026 dari sub kegiatan  Penyediaan Jasa Pelayanan Umum Kantor  Tahun Anggaran 2026 kepada Kantin Dassa Elu An. Paulina B. Deki ( GU 2)</t>
  </si>
  <si>
    <t>5.01.01.2.08.0004.5.1.02.01.01.0054</t>
  </si>
  <si>
    <t>09-02-2026</t>
  </si>
  <si>
    <t>Bayar Biaya Belanja Bahan-Bahan Bakar dan Pelumas untuk kendaraan Dinas roda empat ED.1056.WB dan ED.8045.WB, dari Sub Kegiatan Penyediaan Jasa Pemeliharaan, Biaya Pemeliharaan dan Pajak Kendaraan Perorangan Dinas atau Kendaraan Dinas Jabatan TA.2026(PAD), An. Maria B. A. Bili (GU 2)</t>
  </si>
  <si>
    <t>Bayar Biaya Belanja Bahan-Bahan Bakar dan Pelumas untuk kendaraan Dinas roda empat ED.1056.WB dan ED.8045.WB, dari Sub Kegiatan Penyediaan Jasa Pemeliharaan, Biaya Pemeliharaan dan Pajak Kendaraan Perorangan Dinas atau Kendaraan Dinas Jabatan TA.2026(PAD), An.Ang Ita Tesiana (GU 2)</t>
  </si>
  <si>
    <t>Bayar Biaya Belanja Bahan-Bahan Bakar dan Pelumas untuk kendaraan Dinas roda empat ED.1056.WB dan ED.8045.WB, dari Sub Kegiatan Penyediaan Jasa Pemeliharaan, Biaya Pemeliharaan dan Pajak Kendaraan Perorangan Dinas atau Kendaraan Dinas Jabatan TA.2026(PAD), An. Alvian Wulang (GU 2)</t>
  </si>
  <si>
    <t>Bayar Biaya Belanja Pemeliharaan Alat Angkutan - Alat Angkutan Darat Bermotor Kendaraan Dinas Bermotor Perorangan Mobil Kaban (ED 1056 WB), dari Sub Kegiatan Penyediaan Jasa Pemeliharaan, Biaya Pemeliharaan dan Pajak Kendaraan Dinas Operasional atau Lapangan TA.2026(PAD), An. Steven Wadoe (GU 2)</t>
  </si>
  <si>
    <t>Bayar Biaya Belanja Pemeliharaan Alat Angkutan - Alat Angkutan Darat Bermotor Kendaraan Dinas Bermotor Perorangan Mobil Kaban (ED 8045 WB), dari Sub Kegiatan Penyediaan Jasa Pemeliharaan, Biaya Pemeliharaan dan Pajak Kendaraan Dinas Operasional atau Lapangan TA.2026(PAD), An. Steven Wadoe (GU 2)</t>
  </si>
  <si>
    <t>Bayar Biaya Belanja Pemeliharaan Alat Angkutan - Alat Angkutan Darat Bermotor - Kendaraan Bermotor Beroda Dua, dari Sub Kegiatan Penyediaan Jasa Pemeliharaan, Biaya Pemeliharaan dan Pajak Kendaraan Perorangan Dinas atau Kendaraan Dinas Jabatan TA.2026(PAD), An. Septian (GU 2)</t>
  </si>
  <si>
    <t>Bayar Biaya Belanja Pemeliharaan Alat Angkutan - Alat Angkutan Darat Bermotor - Kendaraan Bermotor Beroda Dua, dari Sub Kegiatan Penyediaan Jasa Pemeliharaan, Biaya Pemeliharaan dan Pajak Kendaraan Perorangan Dinas atau Kendaraan Dinas Jabatan TA.2026(PAD), An. Elvan Motor(GU 2)</t>
  </si>
  <si>
    <t>26-02-2026</t>
  </si>
  <si>
    <t>Bayar Biaya Belanja Pemeliharaan Alat Angkutan - Alat Angkutan Darat Bermotor - Kendaraan Bermotor Beroda Dua, dari Sub Kegiatan Penyediaan Jasa Pemeliharaan, Biaya Pemeliharaan dan Pajak Kendaraan Perorangan Dinas atau Kendaraan Dinas Jabatan TA.2026(PAD), An. Elvan Motor  (GU 2)</t>
  </si>
  <si>
    <t>Bayar biaya belanja Alat/Bahan umtuk kegiatan kantor - Alat Tulis Kantor  dari Sub Kegiatan Asistensi Penyusunan Dokumen Perencanaan Pembangunan Perangkat Daerah Bidang Pemerintahan Tahun Anggaran 2026 Kepada Kios Palaxxi An. J Wanto Sapulete (GU2)</t>
  </si>
  <si>
    <t>5.01.03.2.01.0002.5.1.02.01.01.0024</t>
  </si>
  <si>
    <t>5.01.03.2.01.0002.5.1.02.01.01.0025</t>
  </si>
  <si>
    <t>5.01.03.2.01.0002.5.1.02.01.01.0029</t>
  </si>
  <si>
    <t>Bayar biaya belanja Alat/Bahan umtuk kegiatan kantor - Kertas dan Cover dari Sub Kegiatan Asistensi Penyusunan Dokumen Perencanaan Pembangunan Perangkat Daerah Bidang Pemerintahan Tahun Anggaran 2026 Kepada Kios Palaxxi An. J Wanto Sapulete (GU2)</t>
  </si>
  <si>
    <t>Bayar biaya belanja Alat/Bahan umtuk kegiatan kantor - Bahan Komputer  dari Sub Kegiatan Asistensi Penyusunan Dokumen Perencanaan Pembangunan Perangkat Daerah Bidang Pemerintahan Tahun Anggaran 2026 Kepada Kios Palaxxi An. J Wanto Sapulete (GU2)</t>
  </si>
  <si>
    <t>5.01.03.2.01.0006.5.1.02.01.01.0024</t>
  </si>
  <si>
    <t>Bayar biaya belanja Alat/Bahan umtuk kegiatan kantor - Alat Tulis Kantor  dari Sub Kegiatan Asistensi Penyusunan Dokumen Perencanaan Pembangunan Perangkat Daerah Bidang Pembangunan Manusia  Tahun Anggaran 2026 Kepada Kios Palaxxi An. J Wanto Sapulete (GU2)</t>
  </si>
  <si>
    <t>5.01.03.2.01.0006.5.1.02.01.01.0025</t>
  </si>
  <si>
    <t>Bayar biaya belanja Alat/Bahan umtuk kegiatan kantor - Kertas dan Cover  dari Sub Kegiatan Asistensi Penyusunan Dokumen Perencanaan Pembangunan Perangkat Daerah Bidang Pembangunan Manusia  Tahun Anggaran 2026 Kepada Kios Palaxxi An. J Wanto Sapulete (GU2)</t>
  </si>
  <si>
    <t>Bayar biaya belanja Alat/Bahan umtuk kegiatan kantor - Bahan Cetak dari Sub Kegiatan Asistensi Penyusunan Dokumen Perencanaan Pembangunan Perangkat Daerah Bidang Pembangunan Manusia  Tahun Anggaran 2026 Kepada Kios Palaxxi An. J Wanto Sapulete (GU2)</t>
  </si>
  <si>
    <t>5.01.03.2.01.0006.5.1.02.01.01.0026</t>
  </si>
  <si>
    <t>Bayar biaya belanja Alat/Bahan umtuk kegiatan kantor - Bahan Komputer dari Sub Kegiatan Asistensi Penyusunan Dokumen Perencanaan Pembangunan Perangkat Daerah Bidang Pembangunan Manusia  Tahun Anggaran 2026 Kepada Kios Palaxxi An. J Wanto Sapulete (GU2)</t>
  </si>
  <si>
    <t>5.01.03.2.01.0006.5.1.02.01.01.0029</t>
  </si>
  <si>
    <t>Bayar biaya belanja Alat/Bahan umtuk kegiatan kantor - Alat Tulis Kantor  dari Sub Kegiatan Asistensi Penyusunan Dokumen Perencanaan Pembangunan Perangkat Daerah Bidang Infrastruktur  Tahun Anggaran 2026 Kepada CV. Primatech An. Umbu Nay (GU 2)</t>
  </si>
  <si>
    <t>5.01.03.2.03.02.5.1.02.01.01.0024</t>
  </si>
  <si>
    <t>Bayar biaya belanja Alat/Bahan umtuk kegiatan kantor - Kertas dan Cover  dari Sub Kegiatan Asistensi Penyusunan Dokumen Perencanaan Pembangunan Perangkat Daerah Bidang Infrastruktur  Tahun Anggaran 2026 Kepada CV. Primatech An. Umbu Nay (GU 2)</t>
  </si>
  <si>
    <t>5.01.03.2.03.02.5.1.02.01.01.0025</t>
  </si>
  <si>
    <t>Bayar biaya belanja Alat/Bahan umtuk kegiatan kantor - Bahan Komputer  dari Sub Kegiatan Asistensi Penyusunan Dokumen Perencanaan Pembangunan Perangkat Daerah Bidang Infrastruktur  Tahun Anggaran 2026 Kepada CV. Primatech An. Umbu Nay (GU 2)</t>
  </si>
  <si>
    <t>5.01.03.2.03.02.5.1.02.01.01.0029</t>
  </si>
  <si>
    <t>24-02-2026</t>
  </si>
  <si>
    <t>Bayar biaya belanja Makanan dan Minuman Rapat  dari Sub Kegiatan Asistensi Penyusunan Dokumen Perencanaan Pembangunan Perangkat Daerah Bidang Infrastruktur  Tahun Anggaran 2026 Kepada Dapur BUDI An. Dian Jane Christiana  (GU 2)</t>
  </si>
  <si>
    <t>5.01.03.2.03.02.5.1.02.01.01.0052</t>
  </si>
  <si>
    <t>5.01.03.2.03.03.5.1.02.01.01.0029</t>
  </si>
  <si>
    <t>Bayar biaya belanja Alat/Bahan umtuk kegiatan kantor - Alat Tulis Kantor  dari Sub Kegiatan Pelaksanaan Monitoring dan Evaluasi  Penyusunan Dokumen Perencanaan Pembangunan Perangkat Daerah Bidang Infrastruktur  Tahun Anggaran 2026 Kepada CV. Primatech An. Umbu Nay (GU 2)</t>
  </si>
  <si>
    <t>5.01.03.2.03.03.5.1.02.01.01.0024</t>
  </si>
  <si>
    <t>Bayar biaya belanja Alat/Bahan umtuk kegiatan kantor - Kertas dan Cover  dari Sub Kegiatan Pelaksanaan Monitoring dan Evaluasi  Penyusunan Dokumen Perencanaan Pembangunan Perangkat Daerah Bidang Infrastruktur  Tahun Anggaran 2026 Kepada CV. Primatech An. Umbu Nay (GU 2)</t>
  </si>
  <si>
    <t>5.01.03.2.03.03.5.1.02.01.01.0025</t>
  </si>
  <si>
    <t>Bayar biaya belanja Alat/Bahan umtuk kegiatan kantor - Bahan Komputer  dari Sub Kegiatan Pelaksanaan Monitoring dan Evaluasi  Penyusunan Dokumen Perencanaan Pembangunan Perangkat Daerah Bidang Infrastruktur  Tahun Anggaran 2026 Kepada CV. Primatech An. Umbu Nay (GU 2)</t>
  </si>
  <si>
    <t>Bayar biaya belanja Alat/Bahan umtuk kegiatan kantor - Alat Tulis Kantor  dari Sub Kegiatan Koordinasi  Penyusunan Dokumen Perencanaan Pembangunan  Daerah Bidang Infrastruktur (RPJPD,RPJMD dan RKPD) Tahun Anggaran 2026 Kepada CV. Primatech An. Umbu Nay (GU 2)</t>
  </si>
  <si>
    <t>5.01.03.2.03.04.5.1.02.01.01.0024</t>
  </si>
  <si>
    <t>5.01.03.2.03.04.5.1.02.01.01.0025</t>
  </si>
  <si>
    <t>Bayar biaya belanja Alat/Bahan umtuk kegiatan kantor - Kertas dan Cover  dari Sub Kegiatan Koordinasi  Penyusunan Dokumen Perencanaan Pembangunan  Daerah Bidang Infrastruktur (RPJPD,RPJMD dan RKPD) Tahun Anggaran 2026 Kepada CV. Primatech An. Umbu Nay (GU 2)</t>
  </si>
  <si>
    <t>Bayar biaya belanja Alat/Bahan umtuk kegiatan kantor - Bahan Komputer  dari Sub Kegiatan Koordinasi  Penyusunan Dokumen Perencanaan Pembangunan  Daerah Bidang Infrastruktur (RPJPD,RPJMD dan RKPD) Tahun Anggaran 2026 Kepada CV. Primatech An. Umbu Nay (GU 2)</t>
  </si>
  <si>
    <t>5.01.03.2.03.04.5.1.02.01.01.0029</t>
  </si>
  <si>
    <t>5.01.03.2.03.04.5.1.02.01.01.0054</t>
  </si>
  <si>
    <t>Bayar biaya belanja Penambah Daya Tahan Tubuh  dari Sub Kegiatan Koordinasi Penyusunan Dokumen Perencanaan Pembangunan Daerah Bidang Infrastruktur  Tahun Anggaran 2026 Kepada Dapur BUDI An. Dian Jane Christiana  (GU 2)</t>
  </si>
  <si>
    <t>5.01.03.2.03.04.5.1.02.04.01.0001</t>
  </si>
  <si>
    <t>Bayar biaya belanja Alat/Bahan umtuk kegiatan kantor - Alat Tulis Kantor  dari Sub Kegiatan Fasilitasi, Pelaksanaan dan Evaluasi Penelitian dan Pengembangan Bidang Kelembagaan dan Ketatalaksanaan Tahun Anggaran 2026 kepada Kios Palaxxi An. J Wanto Sapulete (GU 2 )</t>
  </si>
  <si>
    <t>Bayar biaya belanja Alat/Bahan umtuk kegiatan kantor - Bahan Cetak  dari Sub Kegiatan Fasilitasi, Pelaksanaan dan Evaluasi Penelitian dan Pengembangan Bidang Kelembagaan dan Ketatalaksanaan Tahun Anggaran 2026 kepada Kios Palaxxi An. J Wanto Sapulete (GU 2 )</t>
  </si>
  <si>
    <t>Bayar biaya belanja Alat/Bahan umtuk kegiatan kantor - Bahan Komputer  dari Sub Kegiatan Fasilitasi, Pelaksanaan dan Evaluasi Penelitian dan Pengembangan Bidang Kelembagaan dan Ketatalaksanaan Tahun Anggaran 2026 kepada Kios Palaxxi An. J Wanto Sapulete (GU 2 )</t>
  </si>
  <si>
    <t>Bayar biaya belanja Alat/Bahan umtuk kegiatan kantor - Alat Tulis Kantor  dari Sub Kegiatan Fasilitasi, Pelaksanaan dan Evaluasi Penelitian dan Pengembangan Bidang Keuangan dan Aset Daerah, Reformasi Birokrasi  Tahun Anggaran 2026 kepada Kios Palaxxi An. J Wanto Sapulete (GU 2 )</t>
  </si>
  <si>
    <t>Bayar biaya belanja Alat/Bahan umtuk kegiatan kantor - Kertas dan Cover  dari Sub Kegiatan Fasilitasi, Pelaksanaan dan Evaluasi Penelitian dan Pengembangan Bidang Keuangan dan Aset Daerah, Reformasi Birokrasi  Tahun Anggaran 2026 kepada Kios Palaxxi An. J Wanto Sapulete (GU 2 )</t>
  </si>
  <si>
    <t>Bayar biaya belanja Alat/Bahan umtuk kegiatan kantor - Bahan Cetak  dari Sub Kegiatan Fasilitasi, Pelaksanaan dan Evaluasi Penelitian dan Pengembangan Bidang Keuangan dan Aset Daerah, Reformasi Birokrasi  Tahun Anggaran 2026 kepada Kios Palaxxi An. J Wanto Sapulete (GU 2 )</t>
  </si>
  <si>
    <t>Bayar biaya belanja Alat/Bahan umtuk kegiatan kantor - Bahan Komputer dari Sub Kegiatan Fasilitasi, Pelaksanaan dan Evaluasi Penelitian dan Pengembangan Bidang Keuangan dan Aset Daerah, Reformasi Birokrasi  Tahun Anggaran 2026 kepada Kios Palaxxi An. J Wanto Sapulete (GU 2 )</t>
  </si>
  <si>
    <t>5.05.02.2.01.003.5.1.02.2.01.01.0024</t>
  </si>
  <si>
    <t>5.05.02.2.01.003.5.1.02.2.01.01.0029</t>
  </si>
  <si>
    <t>5.05.02.2.01.003.5.1.02.2.01.01.0026</t>
  </si>
  <si>
    <t>5.05.02.2.01.005.5.1.02.2.01.01.0024</t>
  </si>
  <si>
    <t>5.05.02.2.01.005.5.1.02.2.01.01.0025</t>
  </si>
  <si>
    <t>5.05.02.2.01.005.5.1.02.2.01.01.0026</t>
  </si>
  <si>
    <t>5.05.02.2.01.005.5.1.02.2.01.01.0029</t>
  </si>
  <si>
    <t>Bayar biaya belanja Alat/Bahan umtuk kegiatan kantor - Kertas dan Cover  dari Sub Kegiatan Fasilitasi dan Pembinaan Pelaksanaan Penelitian Pengembangan, Pengkajian dan Penerapan Tahun Anggaran 2026 kepada Kios Palaxxi An. J Wanto Sapulete (GU 2 )</t>
  </si>
  <si>
    <t>5.05.02.2.01.0003.5.1.02.2.01.01.0025</t>
  </si>
  <si>
    <t>5.05.02.2.01.0003.5.1.02.2.01.01.0026</t>
  </si>
  <si>
    <t>Bayar biaya belanja Alat/Bahan umtuk kegiatan kantor - Bahan Cetak  dari Sub Kegiatan Fasilitasi dan Pembinaan Pelaksanaan Penelitian Pengembangan, Pengkajian dan Penerapan Tahun Anggaran 2026 kepada Kios Palaxxi An. J Wanto Sapulete (GU 2 )</t>
  </si>
  <si>
    <t>5.05.02.2.02.0003.5.1.02.2.01.01.0024</t>
  </si>
  <si>
    <t>Bayar biaya belanja Alat/Bahan umtuk kegiatan kantor - Alat Tulis Kantor dari Sub Kegiatan Fasilitasi Pembinaan untuk penyelenggaraan pengembangan Klaster Inovasi Berbasis Produk Unggulan Daerah  Anggaran 2026 kepada Kios Palaxxi An. J Wanto Sapulete (GU 2 )</t>
  </si>
  <si>
    <t>Bayar biaya belanja Alat/Bahan umtuk kegiatan kantor - Bahan Cetak dari Sub Kegiatan Fasilitasi Pembinaan untuk penyelenggaraan pengembangan Klaster Inovasi Berbasis Produk Unggulan Daerah  Anggaran 2026 kepada Kios Palaxxi An. J Wanto Sapulete (GU 2 )</t>
  </si>
  <si>
    <t>5.05.02.2.02.0003.5.1.02.2.01.01.0026</t>
  </si>
  <si>
    <t>5.05.02.2.02.0003.5.1.02.2.01.01.0029</t>
  </si>
  <si>
    <t>Bayar biaya belanja Alat/Bahan umtuk kegiatan kantor - Bahan Komputer dari Sub Kegiatan Fasilitasi Pembinaan untuk penyelenggaraan pengembangan Klaster Inovasi Berbasis Produk Unggulan Daerah  Anggaran 2026 kepada Kios Palaxxi An. J Wanto Sapulete (GU 2 )</t>
  </si>
  <si>
    <t>Bayar biaya belanja Makanan dan Minuman Rapat  dari Sub Kegiatan Fasilitasi Pembinaan untuk penyelenggaraan pengembangan Klaster Inovasi Berbasis Produk Unggulan Daerah  Anggaran 2026 kepada Catering Kuda Bintang An. Syahrul A Kasih (GU 2)</t>
  </si>
  <si>
    <t>5.05.02.2.02.0003.5.1.02.2.01.01.0052</t>
  </si>
  <si>
    <t>Bayar biaya belanja Alat/Bahan umtuk kegiatan kantor - Alat Tulis Kantor dari Sub Kegiatan Fasilitasi dan Pembinaan Untuk Apresiasi Prestasi Inovasi  Anggaran 2026 kepada Kios Palaxxi An. J Wanto Sapulete (GU 2 )</t>
  </si>
  <si>
    <t>5.05.02.2.02.0012.5.1.02.2.01.01.0024</t>
  </si>
  <si>
    <t>5.05.02.2.02.0012.5.1.02.2.01.01.0025</t>
  </si>
  <si>
    <t>Bayar biaya belanja Alat/Bahan umtuk kegiatan kantor - Kertas dan Cover dari Sub Kegiatan Fasilitasi dan Pembinaan Untuk Apresiasi Prestasi Inovasi  Anggaran 2026 kepada Kios Palaxxi An. J Wanto Sapulete (GU 2 )</t>
  </si>
  <si>
    <t>Bayar biaya belanja Alat/Bahan umtuk kegiatan kantor - Bahan Cetak dari Sub Kegiatan Fasilitasi dan Pembinaan Untuk Apresiasi Prestasi Inovasi  Anggaran 2026 kepada Kios Palaxxi An. J Wanto Sapulete (GU 2 )</t>
  </si>
  <si>
    <t>5.05.02.2.02.0012.5.1.02.2.01.01.0026</t>
  </si>
  <si>
    <t>5.05.02.2.02.0012.5.1.02.2.01.01.0029</t>
  </si>
  <si>
    <t>5.05.02.2.02.0004.5.1.02.2.01.01.0024</t>
  </si>
  <si>
    <t>Bayar biaya belanja Alat/Bahan umtuk kegiatan kantor - Alat Tulis Kantor dari Sub Kegiatan Fasilitasi Pembinaan untuk penyelenggaraan pengembangan Klaster Inovasi Berbasis Produk Unggulan Daerah dan/atau Mengatasi Permasalahan Daerah  Anggaran 2026 kepada Kios Palaxxi An. J Wanto Sapulete (GU 2 )</t>
  </si>
  <si>
    <t>Bayar biaya belanja Alat/Bahan umtuk kegiatan kantor - Kertas dan Cover dari Sub Kegiatan Fasilitasi Pembinaan untuk penyelenggaraan pengembangan Klaster Inovasi Berbasis Produk Unggulan Daerah dan/atau Mengatasi Permasalahan Daerah  Anggaran 2026 kepada Kios Palaxxi An. J Wanto Sapulete (GU 2 )</t>
  </si>
  <si>
    <t>5.05.02.2.02.0004.5.1.02.2.01.01.0025</t>
  </si>
  <si>
    <t>5.05.02.2.02.0004.5.1.02.2.01.01.0026</t>
  </si>
  <si>
    <t>Bayar biaya belanja Alat/Bahan umtuk kegiatan kantor - Bahan Cetak dari Sub Kegiatan Fasilitasi Pembinaan untuk penyelenggaraan pengembangan Klaster Inovasi Berbasis Produk Unggulan Daerah dan/atau Mengatasi Permasalahan Daerah  Anggaran 2026 kepada Kios Palaxxi An. J Wanto Sapulete (GU 2 )</t>
  </si>
  <si>
    <t>5.05.02.2.02.0004.5.1.02.2.01.01.0029</t>
  </si>
  <si>
    <t>Bayar biaya belanja Alat/Bahan umtuk kegiatan kantor - Bahan Komputer dari Sub Kegiatan Fasilitasi Pembinaan untuk penyelenggaraan pengembangan Klaster Inovasi Berbasis Produk Unggulan Daerah dan/atau Mengatasi Permasalahan Daerah  Anggaran 2026 kepada Kios Palaxxi An. J Wanto Sapulete (GU 2 )</t>
  </si>
  <si>
    <t>27-02-2026</t>
  </si>
  <si>
    <t>5.01.03.2.02.0002.5.1.02.01.001.00026</t>
  </si>
  <si>
    <t>5.01.03.2.02.0003.5.1.02.01.001.00029</t>
  </si>
  <si>
    <t>Bayar biaya belanja Alat/Bahan umtuk kegiatan kantor - Bahan Cetak dari Sub Kegiatan Asistensi Penyusunan Dokumen Perencanaan Pembangunan Perangkat Daerah Bidang Perekonomian Anggaran 2026 kepada Kios Palaxxi An. J Wanto Sapulete (GU 2 )</t>
  </si>
  <si>
    <t>Bayar biaya belanja Alat/Bahan umtuk kegiatan kantor - Bahan Komputer  dari Sub Kegiatan Pelaksanaan Monitoring dan Evaluasi Penyusunan Dokumen Perencanaan Pembangunan Perangkat Daerah Bidang Perekonomian Anggaran 2026 kepada Kios Palaxxi An. J Wanto Sapulete (GU 2 )</t>
  </si>
  <si>
    <t>5.01.03.2.02.0004.5.1.02.01.001.00024</t>
  </si>
  <si>
    <t>Bayar biaya belanja Alat/Bahan umtuk kegiatan kantor - Bahan Komputer  dari Sub Kegiatan Koordinasi Pelaksanaan Sinergitas dan Harmonisasi Perencanaan Pembangunan  Daerah Bidang Perekonomian Anggaran 2026 kepada Kios Palaxxi An. J Wanto Sapulete (GU 2 )</t>
  </si>
  <si>
    <t>5.01.03.2.02.0004.5.1.02.01.001.00025</t>
  </si>
  <si>
    <t>5.01.03.2.02.0004.5.1.02.01.001.00026</t>
  </si>
  <si>
    <t>5.01.03.2.02.0004.5.1.02.01.001.00029</t>
  </si>
  <si>
    <t>Bayar biaya belanja Alat/Bahan umtuk kegiatan kantor - Alat Tulis Kantor dari Sub Kegiatan Koordinasi Pelaksanaan Sinergitas dan Harmonisasi Perencanaan Pembangunan  Daerah Bidang Perekonomian Anggaran 2026 kepada Kios Palaxxi An. J Wanto Sapulete (GU 2 )</t>
  </si>
  <si>
    <t>Bayar biaya belanja Alat/Bahan umtuk kegiatan kantor - Kertas dan Cover  dari Sub Kegiatan Koordinasi Pelaksanaan Sinergitas dan Harmonisasi Perencanaan Pembangunan  Daerah Bidang Perekonomian Anggaran 2026 kepada Kios Palaxxi An. J Wanto Sapulete (GU 2 )</t>
  </si>
  <si>
    <t>Bayar biaya belanja Alat/Bahan umtuk kegiatan kantor - Bahan Cetak  dari Sub Kegiatan Koordinasi Pelaksanaan Sinergitas dan Harmonisasi Perencanaan Pembangunan  Daerah Bidang Perekonomian Anggaran 2026 kepada Kios Palaxxi An. J Wanto Sapulete (GU 2 )</t>
  </si>
  <si>
    <t>5.01.03.2.02.0003.5.1.02.04.001.0003</t>
  </si>
  <si>
    <t>Bayar Biaya Perjalanan Dinas Luar Daerah  Dalam Rangka Mengikuti Rapat Koordinasi Diseminasi Kajian Dampak Efisiensi Anggaran terhadap Pembangunan Daerah Tertinggal di Bappelitbangda Sumba Tengah dari Sub Kegiatan Koordinasi Penyusunan Dokumen Perencanaan Pembangunan Daerah Bidang Infrastruktur (RPJPD,RPJMD dan RKPD) Tahun Anggaran 2026 kepada Charles Hermana Weru,S.Sos,dkk (GU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</si>
</sst>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7" x14ac:knownFonts="1">
    <font>
      <sz val="11"/>
      <color theme="1"/>
      <name val="Calibri"/>
      <family val="2"/>
      <scheme val="minor"/>
    </font>
    <font>
      <sz val="11"/>
      <color theme="1"/>
      <name val="Calibri"/>
      <family val="2"/>
      <scheme val="minor"/>
    </font>
    <font>
      <b/>
      <sz val="10"/>
      <color theme="1"/>
      <name val="Times New Roman"/>
      <family val="1"/>
    </font>
    <font>
      <sz val="10"/>
      <color theme="1"/>
      <name val="Times New Roman"/>
      <family val="1"/>
    </font>
    <font>
      <sz val="72"/>
      <color theme="1"/>
      <name val="Century Gothic"/>
      <family val="2"/>
    </font>
    <font>
      <b/>
      <sz val="10"/>
      <name val="Times New Roman"/>
      <family val="1"/>
    </font>
    <font>
      <sz val="10"/>
      <name val="Times New Roman"/>
      <family val="1"/>
    </font>
    <font>
      <b/>
      <sz val="11"/>
      <color theme="1"/>
      <name val="Times New Roman"/>
      <family val="1"/>
    </font>
    <font>
      <sz val="11"/>
      <color theme="1"/>
      <name val="Times New Roman"/>
      <family val="1"/>
    </font>
    <font>
      <sz val="11"/>
      <color rgb="FFFF0000"/>
      <name val="Times New Roman"/>
      <family val="1"/>
    </font>
    <font>
      <sz val="10"/>
      <name val="Arial"/>
      <family val="2"/>
    </font>
    <font>
      <b/>
      <sz val="10"/>
      <color rgb="FF000000"/>
      <name val="Times New Roman"/>
      <family val="1"/>
    </font>
    <font>
      <sz val="10"/>
      <color rgb="FF000000"/>
      <name val="Times New Roman"/>
      <family val="1"/>
    </font>
    <font>
      <sz val="9"/>
      <color rgb="FF000000"/>
      <name val="Arial"/>
      <family val="2"/>
    </font>
    <font>
      <b/>
      <sz val="9"/>
      <color theme="1"/>
      <name val="Times New Roman"/>
      <family val="1"/>
    </font>
    <font>
      <sz val="10"/>
      <color theme="1"/>
      <name val="Arial Narrow"/>
      <family val="2"/>
    </font>
    <font>
      <b/>
      <sz val="8"/>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thin">
        <color indexed="64"/>
      </right>
      <top/>
      <bottom style="hair">
        <color indexed="64"/>
      </bottom>
      <diagonal/>
    </border>
    <border>
      <left style="thin">
        <color rgb="FF000000"/>
      </left>
      <right/>
      <top/>
      <bottom/>
      <diagonal/>
    </border>
    <border>
      <left style="thin">
        <color indexed="64"/>
      </left>
      <right/>
      <top style="hair">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3">
    <xf numFmtId="0" fontId="0" fillId="0" borderId="0"/>
    <xf numFmtId="164" fontId="1" fillId="0" borderId="0" applyFont="0" applyFill="0" applyBorder="0" applyAlignment="0" applyProtection="0"/>
    <xf numFmtId="0" fontId="10" fillId="0" borderId="0"/>
  </cellStyleXfs>
  <cellXfs count="138">
    <xf numFmtId="0" fontId="0" fillId="0" borderId="0" xfId="0"/>
    <xf numFmtId="0" fontId="7" fillId="0" borderId="0" xfId="0" applyFont="1"/>
    <xf numFmtId="0" fontId="8" fillId="0" borderId="0" xfId="0" applyFont="1"/>
    <xf numFmtId="165" fontId="8" fillId="0" borderId="0" xfId="0" applyNumberFormat="1" applyFont="1"/>
    <xf numFmtId="165" fontId="7" fillId="0" borderId="0" xfId="0" applyNumberFormat="1" applyFont="1"/>
    <xf numFmtId="3" fontId="8" fillId="0" borderId="0" xfId="0" applyNumberFormat="1" applyFont="1"/>
    <xf numFmtId="165" fontId="8" fillId="0" borderId="0" xfId="1" applyNumberFormat="1" applyFont="1" applyFill="1"/>
    <xf numFmtId="0" fontId="9" fillId="0" borderId="0" xfId="0" applyFont="1"/>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165" fontId="8" fillId="0" borderId="0" xfId="1" applyNumberFormat="1" applyFont="1" applyFill="1" applyAlignment="1">
      <alignment vertical="center"/>
    </xf>
    <xf numFmtId="0" fontId="2" fillId="0" borderId="6" xfId="0" applyFont="1" applyBorder="1" applyAlignment="1">
      <alignmen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165" fontId="2" fillId="0" borderId="2" xfId="1" applyNumberFormat="1" applyFont="1" applyFill="1" applyBorder="1" applyAlignment="1">
      <alignment horizontal="center" vertical="center"/>
    </xf>
    <xf numFmtId="0" fontId="3" fillId="0" borderId="4" xfId="0" applyFont="1" applyBorder="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vertical="center"/>
    </xf>
    <xf numFmtId="0" fontId="3" fillId="0" borderId="6" xfId="0" applyFont="1" applyBorder="1" applyAlignment="1">
      <alignment vertical="center" wrapText="1"/>
    </xf>
    <xf numFmtId="165" fontId="3" fillId="0" borderId="6" xfId="1" applyNumberFormat="1" applyFont="1" applyFill="1" applyBorder="1" applyAlignment="1">
      <alignment vertical="center"/>
    </xf>
    <xf numFmtId="165" fontId="2" fillId="0" borderId="6" xfId="1" applyNumberFormat="1" applyFont="1" applyFill="1" applyBorder="1" applyAlignment="1">
      <alignment vertical="center"/>
    </xf>
    <xf numFmtId="0" fontId="2" fillId="0" borderId="5"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vertical="center"/>
    </xf>
    <xf numFmtId="14" fontId="3" fillId="0" borderId="5" xfId="0" quotePrefix="1" applyNumberFormat="1" applyFont="1" applyBorder="1" applyAlignment="1">
      <alignment vertical="center"/>
    </xf>
    <xf numFmtId="165" fontId="5" fillId="0" borderId="3" xfId="1" applyNumberFormat="1" applyFont="1" applyBorder="1" applyAlignment="1">
      <alignment vertical="center"/>
    </xf>
    <xf numFmtId="3" fontId="5" fillId="0" borderId="3" xfId="0" applyNumberFormat="1" applyFont="1" applyBorder="1" applyAlignment="1">
      <alignment vertical="center"/>
    </xf>
    <xf numFmtId="3" fontId="5" fillId="2" borderId="3" xfId="0" applyNumberFormat="1" applyFont="1" applyFill="1" applyBorder="1" applyAlignment="1">
      <alignment vertical="center"/>
    </xf>
    <xf numFmtId="0" fontId="3" fillId="0" borderId="3" xfId="0" applyFont="1" applyBorder="1" applyAlignment="1">
      <alignment horizontal="center" vertical="center" wrapText="1"/>
    </xf>
    <xf numFmtId="165" fontId="2" fillId="0" borderId="5" xfId="1" applyNumberFormat="1" applyFont="1" applyFill="1" applyBorder="1" applyAlignment="1">
      <alignment vertical="center"/>
    </xf>
    <xf numFmtId="0" fontId="6" fillId="0" borderId="5" xfId="0" applyFont="1" applyBorder="1" applyAlignment="1">
      <alignment vertical="top" wrapText="1"/>
    </xf>
    <xf numFmtId="165" fontId="3" fillId="0" borderId="5" xfId="1" applyNumberFormat="1" applyFont="1" applyFill="1" applyBorder="1" applyAlignment="1">
      <alignment vertical="center"/>
    </xf>
    <xf numFmtId="14" fontId="3" fillId="0" borderId="5" xfId="0" quotePrefix="1" applyNumberFormat="1" applyFont="1" applyBorder="1" applyAlignment="1">
      <alignment vertical="top"/>
    </xf>
    <xf numFmtId="0" fontId="3" fillId="0" borderId="5" xfId="0" applyFont="1" applyBorder="1" applyAlignment="1">
      <alignment vertical="top"/>
    </xf>
    <xf numFmtId="0" fontId="3" fillId="0" borderId="5" xfId="0" applyFont="1" applyBorder="1" applyAlignment="1">
      <alignment horizontal="center" vertical="top"/>
    </xf>
    <xf numFmtId="0" fontId="3" fillId="0" borderId="9" xfId="0" applyFont="1" applyBorder="1" applyAlignment="1">
      <alignment vertical="top"/>
    </xf>
    <xf numFmtId="0" fontId="6" fillId="0" borderId="9" xfId="0" applyFont="1" applyBorder="1" applyAlignment="1">
      <alignment horizontal="left" vertical="top" wrapText="1"/>
    </xf>
    <xf numFmtId="14" fontId="6" fillId="0" borderId="5" xfId="0" quotePrefix="1" applyNumberFormat="1" applyFont="1" applyBorder="1" applyAlignment="1">
      <alignment vertical="top"/>
    </xf>
    <xf numFmtId="0" fontId="6" fillId="0" borderId="5" xfId="0" applyFont="1" applyBorder="1" applyAlignment="1">
      <alignment vertical="top"/>
    </xf>
    <xf numFmtId="165" fontId="3" fillId="0" borderId="10" xfId="1" applyNumberFormat="1" applyFont="1" applyFill="1" applyBorder="1" applyAlignment="1">
      <alignment vertical="center"/>
    </xf>
    <xf numFmtId="165" fontId="6" fillId="0" borderId="6" xfId="1" applyNumberFormat="1" applyFont="1" applyFill="1" applyBorder="1" applyAlignment="1">
      <alignment vertical="center"/>
    </xf>
    <xf numFmtId="0" fontId="3" fillId="0" borderId="3" xfId="0" applyFont="1" applyBorder="1" applyAlignment="1">
      <alignment horizontal="center" vertical="top"/>
    </xf>
    <xf numFmtId="14" fontId="3" fillId="0" borderId="3" xfId="0" quotePrefix="1" applyNumberFormat="1" applyFont="1" applyBorder="1" applyAlignment="1">
      <alignment vertical="top"/>
    </xf>
    <xf numFmtId="0" fontId="3" fillId="0" borderId="3" xfId="0" applyFont="1" applyBorder="1" applyAlignment="1">
      <alignment vertical="top"/>
    </xf>
    <xf numFmtId="165" fontId="2" fillId="0" borderId="4" xfId="1" applyNumberFormat="1" applyFont="1" applyFill="1" applyBorder="1" applyAlignment="1">
      <alignment vertical="center"/>
    </xf>
    <xf numFmtId="165" fontId="3" fillId="0" borderId="4" xfId="1" applyNumberFormat="1" applyFont="1" applyFill="1" applyBorder="1" applyAlignment="1">
      <alignment vertical="center"/>
    </xf>
    <xf numFmtId="0" fontId="3" fillId="0" borderId="0" xfId="0" applyFont="1" applyAlignment="1">
      <alignment vertical="top"/>
    </xf>
    <xf numFmtId="0" fontId="3" fillId="0" borderId="6" xfId="0" applyFont="1" applyBorder="1" applyAlignment="1">
      <alignment vertical="top" wrapText="1"/>
    </xf>
    <xf numFmtId="0" fontId="6" fillId="0" borderId="6" xfId="0" applyFont="1" applyBorder="1" applyAlignment="1">
      <alignment vertical="top" wrapText="1"/>
    </xf>
    <xf numFmtId="165" fontId="6" fillId="0" borderId="5" xfId="1" quotePrefix="1" applyNumberFormat="1" applyFont="1" applyFill="1" applyBorder="1" applyAlignment="1">
      <alignment vertical="top" wrapText="1"/>
    </xf>
    <xf numFmtId="0" fontId="6" fillId="0" borderId="3" xfId="0" applyFont="1" applyBorder="1" applyAlignment="1">
      <alignment vertical="top" wrapText="1"/>
    </xf>
    <xf numFmtId="165" fontId="6" fillId="0" borderId="3" xfId="1" quotePrefix="1" applyNumberFormat="1" applyFont="1" applyFill="1" applyBorder="1" applyAlignment="1">
      <alignment vertical="top" wrapText="1"/>
    </xf>
    <xf numFmtId="0" fontId="2" fillId="0" borderId="6" xfId="0" applyFont="1" applyBorder="1" applyAlignment="1">
      <alignment vertical="top" wrapText="1"/>
    </xf>
    <xf numFmtId="165" fontId="3" fillId="0" borderId="6" xfId="1" applyNumberFormat="1" applyFont="1" applyFill="1" applyBorder="1" applyAlignment="1">
      <alignment vertical="top"/>
    </xf>
    <xf numFmtId="0" fontId="3" fillId="0" borderId="4" xfId="0" applyFont="1" applyBorder="1" applyAlignment="1">
      <alignment vertical="top" wrapText="1"/>
    </xf>
    <xf numFmtId="0" fontId="11" fillId="0" borderId="3" xfId="0" applyFont="1" applyBorder="1"/>
    <xf numFmtId="165" fontId="5" fillId="0" borderId="5" xfId="1" applyNumberFormat="1" applyFont="1" applyBorder="1" applyAlignment="1">
      <alignment vertical="center"/>
    </xf>
    <xf numFmtId="3" fontId="5" fillId="0" borderId="5" xfId="0" applyNumberFormat="1" applyFont="1" applyBorder="1" applyAlignment="1">
      <alignment vertical="center"/>
    </xf>
    <xf numFmtId="3" fontId="5" fillId="0" borderId="6" xfId="0" applyNumberFormat="1" applyFont="1" applyBorder="1" applyAlignment="1">
      <alignment vertical="center"/>
    </xf>
    <xf numFmtId="14" fontId="6" fillId="0" borderId="5" xfId="0" quotePrefix="1" applyNumberFormat="1" applyFont="1" applyBorder="1" applyAlignment="1">
      <alignment vertical="center"/>
    </xf>
    <xf numFmtId="0" fontId="11" fillId="0" borderId="5" xfId="0" applyFont="1" applyBorder="1" applyAlignment="1">
      <alignment vertical="center"/>
    </xf>
    <xf numFmtId="0" fontId="11" fillId="0" borderId="0" xfId="0" applyFont="1" applyAlignment="1">
      <alignment vertical="center"/>
    </xf>
    <xf numFmtId="0" fontId="12" fillId="0" borderId="0" xfId="0" applyFont="1" applyAlignment="1">
      <alignment vertical="center" wrapText="1"/>
    </xf>
    <xf numFmtId="165" fontId="6" fillId="0" borderId="5" xfId="1" applyNumberFormat="1" applyFont="1" applyBorder="1" applyAlignment="1">
      <alignment vertical="center"/>
    </xf>
    <xf numFmtId="0" fontId="12" fillId="0" borderId="0" xfId="0" applyFont="1" applyAlignment="1">
      <alignment vertical="top" wrapText="1"/>
    </xf>
    <xf numFmtId="3" fontId="5" fillId="0" borderId="6" xfId="0" applyNumberFormat="1" applyFont="1" applyBorder="1" applyAlignment="1">
      <alignment horizontal="left" vertical="center"/>
    </xf>
    <xf numFmtId="165" fontId="3" fillId="0" borderId="6" xfId="1" applyNumberFormat="1" applyFont="1" applyFill="1" applyBorder="1" applyAlignment="1">
      <alignment horizontal="left" vertical="center"/>
    </xf>
    <xf numFmtId="165" fontId="6" fillId="0" borderId="5" xfId="1" applyNumberFormat="1" applyFont="1" applyBorder="1" applyAlignment="1">
      <alignment horizontal="left" vertical="center"/>
    </xf>
    <xf numFmtId="165" fontId="3" fillId="0" borderId="5" xfId="1" applyNumberFormat="1" applyFont="1" applyFill="1" applyBorder="1" applyAlignment="1">
      <alignment horizontal="left" vertical="center"/>
    </xf>
    <xf numFmtId="0" fontId="4" fillId="0" borderId="0" xfId="0" applyFont="1" applyAlignment="1">
      <alignment horizontal="center"/>
    </xf>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center" vertical="top" wrapText="1"/>
    </xf>
    <xf numFmtId="165" fontId="2" fillId="0" borderId="2" xfId="1" applyNumberFormat="1" applyFont="1" applyFill="1" applyBorder="1" applyAlignment="1">
      <alignment horizontal="center" vertical="top"/>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8" xfId="0" applyFont="1" applyBorder="1" applyAlignment="1">
      <alignment horizontal="center" vertical="top"/>
    </xf>
    <xf numFmtId="0" fontId="3" fillId="0" borderId="8" xfId="0" applyFont="1" applyBorder="1" applyAlignment="1">
      <alignment vertical="top"/>
    </xf>
    <xf numFmtId="165" fontId="2" fillId="0" borderId="6" xfId="1" applyNumberFormat="1" applyFont="1" applyFill="1" applyBorder="1" applyAlignment="1">
      <alignment vertical="top"/>
    </xf>
    <xf numFmtId="165" fontId="3" fillId="0" borderId="5" xfId="1" applyNumberFormat="1" applyFont="1" applyFill="1" applyBorder="1" applyAlignment="1">
      <alignment horizontal="left" vertical="top"/>
    </xf>
    <xf numFmtId="165" fontId="3" fillId="0" borderId="6" xfId="1" applyNumberFormat="1" applyFont="1" applyFill="1" applyBorder="1" applyAlignment="1">
      <alignment horizontal="left" vertical="top"/>
    </xf>
    <xf numFmtId="0" fontId="11" fillId="0" borderId="3" xfId="0" applyFont="1" applyBorder="1" applyAlignment="1">
      <alignment vertical="top"/>
    </xf>
    <xf numFmtId="165" fontId="5" fillId="0" borderId="3" xfId="1" applyNumberFormat="1" applyFont="1" applyBorder="1" applyAlignment="1">
      <alignment vertical="top"/>
    </xf>
    <xf numFmtId="3" fontId="5" fillId="0" borderId="3" xfId="0" applyNumberFormat="1" applyFont="1" applyBorder="1" applyAlignment="1">
      <alignment vertical="top"/>
    </xf>
    <xf numFmtId="3" fontId="5" fillId="2" borderId="3" xfId="0" applyNumberFormat="1" applyFont="1" applyFill="1" applyBorder="1" applyAlignment="1">
      <alignment vertical="top"/>
    </xf>
    <xf numFmtId="14" fontId="3" fillId="0" borderId="5" xfId="0" quotePrefix="1" applyNumberFormat="1" applyFont="1" applyBorder="1" applyAlignment="1">
      <alignment horizontal="left" vertical="top"/>
    </xf>
    <xf numFmtId="165" fontId="2" fillId="0" borderId="6" xfId="1" applyNumberFormat="1" applyFont="1" applyFill="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wrapText="1"/>
    </xf>
    <xf numFmtId="165" fontId="6" fillId="0" borderId="6" xfId="1" applyNumberFormat="1" applyFont="1" applyFill="1" applyBorder="1" applyAlignment="1">
      <alignment horizontal="left" vertical="top"/>
    </xf>
    <xf numFmtId="0" fontId="3" fillId="0" borderId="9" xfId="0" applyFont="1" applyBorder="1" applyAlignment="1">
      <alignment horizontal="left" vertical="top"/>
    </xf>
    <xf numFmtId="165" fontId="2" fillId="0" borderId="5" xfId="1" applyNumberFormat="1" applyFont="1" applyFill="1" applyBorder="1" applyAlignment="1">
      <alignment horizontal="left" vertical="top"/>
    </xf>
    <xf numFmtId="0" fontId="2" fillId="0" borderId="5" xfId="0" applyFont="1" applyBorder="1" applyAlignment="1">
      <alignment horizontal="left" vertical="top" wrapText="1"/>
    </xf>
    <xf numFmtId="14" fontId="3" fillId="0" borderId="5" xfId="0" quotePrefix="1" applyNumberFormat="1" applyFont="1" applyBorder="1" applyAlignment="1">
      <alignment horizontal="left" vertical="top" wrapText="1"/>
    </xf>
    <xf numFmtId="165" fontId="2" fillId="0" borderId="6" xfId="1" applyNumberFormat="1" applyFont="1" applyFill="1" applyBorder="1" applyAlignment="1">
      <alignment horizontal="left" vertical="top" wrapText="1"/>
    </xf>
    <xf numFmtId="0" fontId="3" fillId="0" borderId="5" xfId="0" applyFont="1" applyBorder="1" applyAlignment="1">
      <alignment horizontal="left" vertical="top" wrapText="1"/>
    </xf>
    <xf numFmtId="165" fontId="3" fillId="0" borderId="6" xfId="1" applyNumberFormat="1" applyFont="1" applyFill="1" applyBorder="1" applyAlignment="1">
      <alignment horizontal="left" vertical="top" wrapText="1"/>
    </xf>
    <xf numFmtId="0" fontId="0" fillId="0" borderId="0" xfId="0" applyAlignment="1">
      <alignment vertical="top"/>
    </xf>
    <xf numFmtId="0" fontId="4" fillId="0" borderId="0" xfId="0" applyFont="1" applyAlignment="1">
      <alignment horizontal="center" vertical="top" wrapText="1"/>
    </xf>
    <xf numFmtId="165" fontId="2" fillId="0" borderId="8" xfId="1" applyNumberFormat="1" applyFont="1" applyFill="1" applyBorder="1" applyAlignment="1">
      <alignment vertical="top"/>
    </xf>
    <xf numFmtId="165" fontId="2" fillId="0" borderId="5" xfId="1" applyNumberFormat="1" applyFont="1" applyFill="1" applyBorder="1" applyAlignment="1">
      <alignment horizontal="left" vertical="top" wrapText="1"/>
    </xf>
    <xf numFmtId="165" fontId="3" fillId="0" borderId="5" xfId="1" applyNumberFormat="1" applyFont="1" applyFill="1" applyBorder="1" applyAlignment="1">
      <alignment horizontal="left" vertical="top" wrapText="1"/>
    </xf>
    <xf numFmtId="0" fontId="3" fillId="0" borderId="11" xfId="0" applyFont="1" applyBorder="1" applyAlignment="1">
      <alignment vertical="top" wrapText="1"/>
    </xf>
    <xf numFmtId="0" fontId="3" fillId="0" borderId="10" xfId="0" applyFont="1" applyBorder="1" applyAlignment="1">
      <alignment horizontal="left" vertical="top" wrapText="1"/>
    </xf>
    <xf numFmtId="165" fontId="3" fillId="0" borderId="12" xfId="1" applyNumberFormat="1" applyFont="1" applyFill="1" applyBorder="1" applyAlignment="1">
      <alignment horizontal="left" vertical="top"/>
    </xf>
    <xf numFmtId="0" fontId="14" fillId="0" borderId="6" xfId="0" applyFont="1" applyBorder="1" applyAlignment="1">
      <alignment horizontal="left" vertical="top" wrapText="1"/>
    </xf>
    <xf numFmtId="0" fontId="14" fillId="0" borderId="6" xfId="0" applyFont="1" applyBorder="1" applyAlignment="1">
      <alignment vertical="top" wrapText="1"/>
    </xf>
    <xf numFmtId="0" fontId="15" fillId="0" borderId="5" xfId="0" applyFont="1" applyBorder="1" applyAlignment="1">
      <alignment vertical="top"/>
    </xf>
    <xf numFmtId="0" fontId="6" fillId="0" borderId="5" xfId="0" applyFont="1" applyBorder="1" applyAlignment="1">
      <alignment vertical="center" wrapText="1"/>
    </xf>
    <xf numFmtId="0" fontId="13" fillId="3" borderId="13" xfId="0" applyFont="1" applyFill="1" applyBorder="1" applyAlignment="1">
      <alignment horizontal="center" vertical="top" wrapText="1"/>
    </xf>
    <xf numFmtId="165" fontId="3" fillId="0" borderId="14" xfId="1" applyNumberFormat="1" applyFont="1" applyFill="1" applyBorder="1" applyAlignment="1">
      <alignment vertical="top"/>
    </xf>
    <xf numFmtId="165" fontId="6" fillId="0" borderId="9" xfId="1" quotePrefix="1" applyNumberFormat="1" applyFont="1" applyFill="1" applyBorder="1" applyAlignment="1">
      <alignment vertical="center" wrapText="1"/>
    </xf>
    <xf numFmtId="0" fontId="6" fillId="0" borderId="9" xfId="0" applyFont="1" applyBorder="1" applyAlignment="1">
      <alignment horizontal="left" vertical="top"/>
    </xf>
    <xf numFmtId="165" fontId="5" fillId="0" borderId="5" xfId="1" applyNumberFormat="1" applyFont="1" applyFill="1" applyBorder="1" applyAlignment="1">
      <alignment horizontal="left" vertical="top"/>
    </xf>
    <xf numFmtId="0" fontId="16" fillId="0" borderId="6" xfId="0" applyFont="1" applyBorder="1" applyAlignment="1">
      <alignment vertical="top" wrapText="1"/>
    </xf>
    <xf numFmtId="0" fontId="3" fillId="0" borderId="3" xfId="0" applyFont="1" applyBorder="1" applyAlignment="1">
      <alignment horizontal="left" vertical="top"/>
    </xf>
    <xf numFmtId="14" fontId="3" fillId="0" borderId="3" xfId="0" quotePrefix="1" applyNumberFormat="1" applyFont="1" applyBorder="1" applyAlignment="1">
      <alignment horizontal="left" vertical="top"/>
    </xf>
    <xf numFmtId="165" fontId="3" fillId="0" borderId="4" xfId="1" applyNumberFormat="1" applyFont="1" applyFill="1" applyBorder="1" applyAlignment="1">
      <alignment horizontal="left" vertical="top"/>
    </xf>
    <xf numFmtId="0" fontId="3" fillId="0" borderId="8" xfId="0" applyFont="1" applyBorder="1" applyAlignment="1">
      <alignment horizontal="left" vertical="top"/>
    </xf>
    <xf numFmtId="14" fontId="3" fillId="0" borderId="8" xfId="0" quotePrefix="1" applyNumberFormat="1" applyFont="1" applyBorder="1" applyAlignment="1">
      <alignment horizontal="left" vertical="top"/>
    </xf>
    <xf numFmtId="0" fontId="6" fillId="0" borderId="8" xfId="0" applyFont="1" applyBorder="1" applyAlignment="1">
      <alignment vertical="top" wrapText="1"/>
    </xf>
    <xf numFmtId="165" fontId="6" fillId="0" borderId="8" xfId="1" quotePrefix="1" applyNumberFormat="1" applyFont="1" applyFill="1" applyBorder="1" applyAlignment="1">
      <alignment vertical="top" wrapText="1"/>
    </xf>
    <xf numFmtId="165" fontId="3" fillId="0" borderId="15" xfId="1" applyNumberFormat="1" applyFont="1" applyFill="1" applyBorder="1" applyAlignment="1">
      <alignment horizontal="left" vertical="top"/>
    </xf>
    <xf numFmtId="0" fontId="3" fillId="0" borderId="16" xfId="0" applyFont="1" applyBorder="1" applyAlignment="1">
      <alignment vertical="top"/>
    </xf>
    <xf numFmtId="165" fontId="3" fillId="0" borderId="3" xfId="1" applyNumberFormat="1" applyFont="1" applyFill="1" applyBorder="1" applyAlignment="1">
      <alignment horizontal="left" vertical="top"/>
    </xf>
    <xf numFmtId="0" fontId="3" fillId="0" borderId="15" xfId="0" applyFont="1" applyBorder="1" applyAlignment="1">
      <alignment vertical="top" wrapText="1"/>
    </xf>
    <xf numFmtId="0" fontId="3" fillId="0" borderId="7" xfId="0" applyFont="1" applyBorder="1" applyAlignment="1">
      <alignment vertical="top"/>
    </xf>
    <xf numFmtId="165" fontId="3" fillId="0" borderId="8" xfId="1" applyNumberFormat="1" applyFont="1" applyFill="1" applyBorder="1" applyAlignment="1">
      <alignment horizontal="left" vertical="top"/>
    </xf>
    <xf numFmtId="0" fontId="12" fillId="0" borderId="16" xfId="0" applyFont="1" applyBorder="1" applyAlignment="1">
      <alignment vertical="top" wrapText="1"/>
    </xf>
    <xf numFmtId="165" fontId="2" fillId="0" borderId="4" xfId="1" applyNumberFormat="1" applyFont="1" applyFill="1" applyBorder="1" applyAlignment="1">
      <alignment horizontal="left" vertical="top"/>
    </xf>
    <xf numFmtId="0" fontId="12" fillId="0" borderId="7" xfId="0" applyFont="1" applyBorder="1" applyAlignment="1">
      <alignment vertical="top" wrapText="1"/>
    </xf>
    <xf numFmtId="165" fontId="2" fillId="0" borderId="15" xfId="1" applyNumberFormat="1" applyFont="1" applyFill="1" applyBorder="1" applyAlignment="1">
      <alignment horizontal="left" vertical="top"/>
    </xf>
    <xf numFmtId="0" fontId="3" fillId="0" borderId="17" xfId="0" applyFont="1" applyBorder="1" applyAlignment="1">
      <alignment horizontal="left" vertical="top"/>
    </xf>
    <xf numFmtId="0" fontId="3" fillId="0" borderId="18" xfId="0" applyFont="1" applyBorder="1" applyAlignment="1">
      <alignment horizontal="left" vertical="top"/>
    </xf>
    <xf numFmtId="165" fontId="3" fillId="0" borderId="16" xfId="1" applyNumberFormat="1" applyFont="1" applyFill="1" applyBorder="1" applyAlignment="1">
      <alignment horizontal="left" vertical="top"/>
    </xf>
    <xf numFmtId="0" fontId="12" fillId="0" borderId="0" xfId="0" applyFont="1" applyBorder="1" applyAlignment="1">
      <alignment vertical="top" wrapText="1"/>
    </xf>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K107"/>
  <sheetViews>
    <sheetView tabSelected="1" view="pageBreakPreview" zoomScale="112" zoomScaleNormal="100" zoomScaleSheetLayoutView="112" workbookViewId="0">
      <selection activeCell="C12" sqref="C12"/>
    </sheetView>
  </sheetViews>
  <sheetFormatPr defaultColWidth="9" defaultRowHeight="15" x14ac:dyDescent="0.25"/>
  <cols>
    <col min="1" max="1" width="4.42578125" style="8" customWidth="1"/>
    <col min="2" max="2" width="10.42578125" style="9" customWidth="1"/>
    <col min="3" max="3" width="67.7109375" style="10" customWidth="1"/>
    <col min="4" max="4" width="37" style="11" customWidth="1"/>
    <col min="5" max="5" width="12.85546875" style="11" customWidth="1"/>
    <col min="6" max="6" width="13.42578125" style="11" customWidth="1"/>
    <col min="7" max="7" width="13.85546875" style="11" customWidth="1"/>
    <col min="8" max="8" width="14.7109375" style="2" customWidth="1"/>
    <col min="9" max="9" width="14.7109375" style="2" bestFit="1" customWidth="1"/>
    <col min="10" max="10" width="12.42578125" style="2" bestFit="1" customWidth="1"/>
    <col min="11" max="11" width="12.5703125" style="2" bestFit="1" customWidth="1"/>
    <col min="12" max="16384" width="9" style="2"/>
  </cols>
  <sheetData>
    <row r="1" spans="1:11" ht="20.25" customHeight="1" x14ac:dyDescent="0.25">
      <c r="A1" s="13" t="s">
        <v>0</v>
      </c>
      <c r="B1" s="14" t="s">
        <v>1</v>
      </c>
      <c r="C1" s="15" t="s">
        <v>2</v>
      </c>
      <c r="D1" s="16" t="s">
        <v>3</v>
      </c>
      <c r="E1" s="16" t="s">
        <v>4</v>
      </c>
      <c r="F1" s="16" t="s">
        <v>5</v>
      </c>
      <c r="G1" s="16" t="s">
        <v>6</v>
      </c>
      <c r="K1" s="6"/>
    </row>
    <row r="2" spans="1:11" x14ac:dyDescent="0.25">
      <c r="A2" s="30">
        <v>1</v>
      </c>
      <c r="B2" s="17">
        <v>2</v>
      </c>
      <c r="C2" s="17">
        <v>3</v>
      </c>
      <c r="D2" s="17">
        <v>4</v>
      </c>
      <c r="E2" s="17">
        <v>5</v>
      </c>
      <c r="F2" s="17">
        <v>6</v>
      </c>
      <c r="G2" s="17">
        <v>7</v>
      </c>
      <c r="K2" s="6"/>
    </row>
    <row r="3" spans="1:11" x14ac:dyDescent="0.25">
      <c r="A3" s="18"/>
      <c r="B3" s="19"/>
      <c r="C3" s="20" t="s">
        <v>7</v>
      </c>
      <c r="D3" s="21"/>
      <c r="E3" s="22">
        <v>0</v>
      </c>
      <c r="F3" s="22"/>
      <c r="G3" s="22">
        <f>E3</f>
        <v>0</v>
      </c>
      <c r="I3" s="3"/>
    </row>
    <row r="4" spans="1:11" s="1" customFormat="1" ht="14.25" x14ac:dyDescent="0.2">
      <c r="A4" s="23">
        <v>1</v>
      </c>
      <c r="B4" s="26" t="s">
        <v>51</v>
      </c>
      <c r="C4" s="12" t="s">
        <v>53</v>
      </c>
      <c r="D4" s="22"/>
      <c r="E4" s="22"/>
      <c r="F4" s="22"/>
      <c r="G4" s="22"/>
      <c r="I4" s="4"/>
      <c r="K4" s="4"/>
    </row>
    <row r="5" spans="1:11" x14ac:dyDescent="0.25">
      <c r="A5" s="24"/>
      <c r="B5" s="25"/>
      <c r="C5" s="20" t="s">
        <v>52</v>
      </c>
      <c r="D5" s="21"/>
      <c r="E5" s="22"/>
      <c r="F5" s="21"/>
      <c r="G5" s="21"/>
    </row>
    <row r="6" spans="1:11" x14ac:dyDescent="0.25">
      <c r="A6" s="24"/>
      <c r="B6" s="25"/>
      <c r="C6" s="20" t="s">
        <v>8</v>
      </c>
      <c r="D6" s="21" t="s">
        <v>39</v>
      </c>
      <c r="E6" s="21">
        <v>87749600</v>
      </c>
      <c r="F6" s="21"/>
      <c r="G6" s="21">
        <f>G3+E6</f>
        <v>87749600</v>
      </c>
      <c r="I6" s="5"/>
    </row>
    <row r="7" spans="1:11" x14ac:dyDescent="0.25">
      <c r="A7" s="24"/>
      <c r="B7" s="25"/>
      <c r="C7" s="20" t="s">
        <v>9</v>
      </c>
      <c r="D7" s="21" t="s">
        <v>40</v>
      </c>
      <c r="E7" s="21">
        <v>4448634</v>
      </c>
      <c r="F7" s="21"/>
      <c r="G7" s="21">
        <f t="shared" ref="G7:G20" si="0">G6+E7</f>
        <v>92198234</v>
      </c>
    </row>
    <row r="8" spans="1:11" x14ac:dyDescent="0.25">
      <c r="A8" s="24"/>
      <c r="B8" s="25"/>
      <c r="C8" s="20" t="s">
        <v>10</v>
      </c>
      <c r="D8" s="21"/>
      <c r="E8" s="21">
        <v>0</v>
      </c>
      <c r="F8" s="21"/>
      <c r="G8" s="21">
        <f t="shared" si="0"/>
        <v>92198234</v>
      </c>
    </row>
    <row r="9" spans="1:11" x14ac:dyDescent="0.25">
      <c r="A9" s="24"/>
      <c r="B9" s="25"/>
      <c r="C9" s="20" t="s">
        <v>11</v>
      </c>
      <c r="D9" s="21" t="s">
        <v>41</v>
      </c>
      <c r="E9" s="21">
        <v>8725000</v>
      </c>
      <c r="F9" s="21"/>
      <c r="G9" s="21">
        <f t="shared" si="0"/>
        <v>100923234</v>
      </c>
      <c r="I9" s="3"/>
    </row>
    <row r="10" spans="1:11" x14ac:dyDescent="0.25">
      <c r="A10" s="24"/>
      <c r="B10" s="25"/>
      <c r="C10" s="20" t="s">
        <v>12</v>
      </c>
      <c r="D10" s="21" t="s">
        <v>42</v>
      </c>
      <c r="E10" s="21">
        <v>3240000</v>
      </c>
      <c r="F10" s="21"/>
      <c r="G10" s="21">
        <f t="shared" si="0"/>
        <v>104163234</v>
      </c>
    </row>
    <row r="11" spans="1:11" x14ac:dyDescent="0.25">
      <c r="A11" s="24"/>
      <c r="B11" s="25"/>
      <c r="C11" s="20" t="s">
        <v>13</v>
      </c>
      <c r="D11" s="21" t="s">
        <v>43</v>
      </c>
      <c r="E11" s="21">
        <v>1465000</v>
      </c>
      <c r="F11" s="21"/>
      <c r="G11" s="21">
        <f t="shared" si="0"/>
        <v>105628234</v>
      </c>
      <c r="I11" s="3"/>
    </row>
    <row r="12" spans="1:11" x14ac:dyDescent="0.25">
      <c r="A12" s="24"/>
      <c r="B12" s="25"/>
      <c r="C12" s="20" t="s">
        <v>14</v>
      </c>
      <c r="D12" s="21" t="s">
        <v>44</v>
      </c>
      <c r="E12" s="21">
        <v>4225130</v>
      </c>
      <c r="F12" s="21"/>
      <c r="G12" s="21">
        <f t="shared" si="0"/>
        <v>109853364</v>
      </c>
    </row>
    <row r="13" spans="1:11" x14ac:dyDescent="0.25">
      <c r="A13" s="24"/>
      <c r="B13" s="25"/>
      <c r="C13" s="20" t="s">
        <v>15</v>
      </c>
      <c r="D13" s="21" t="s">
        <v>45</v>
      </c>
      <c r="E13" s="21">
        <v>3331320</v>
      </c>
      <c r="F13" s="21"/>
      <c r="G13" s="21">
        <f t="shared" si="0"/>
        <v>113184684</v>
      </c>
    </row>
    <row r="14" spans="1:11" x14ac:dyDescent="0.25">
      <c r="A14" s="24"/>
      <c r="B14" s="25"/>
      <c r="C14" s="20" t="s">
        <v>16</v>
      </c>
      <c r="D14" s="21"/>
      <c r="E14" s="21"/>
      <c r="F14" s="21"/>
      <c r="G14" s="21">
        <f t="shared" si="0"/>
        <v>113184684</v>
      </c>
    </row>
    <row r="15" spans="1:11" x14ac:dyDescent="0.25">
      <c r="A15" s="24"/>
      <c r="B15" s="25"/>
      <c r="C15" s="20" t="s">
        <v>17</v>
      </c>
      <c r="D15" s="21"/>
      <c r="E15" s="21"/>
      <c r="F15" s="21"/>
      <c r="G15" s="21">
        <f t="shared" si="0"/>
        <v>113184684</v>
      </c>
    </row>
    <row r="16" spans="1:11" x14ac:dyDescent="0.25">
      <c r="A16" s="24"/>
      <c r="B16" s="25"/>
      <c r="C16" s="20" t="s">
        <v>18</v>
      </c>
      <c r="D16" s="21" t="s">
        <v>46</v>
      </c>
      <c r="E16" s="21">
        <v>182921</v>
      </c>
      <c r="F16" s="21"/>
      <c r="G16" s="21">
        <f t="shared" si="0"/>
        <v>113367605</v>
      </c>
    </row>
    <row r="17" spans="1:10" x14ac:dyDescent="0.25">
      <c r="A17" s="24"/>
      <c r="B17" s="25"/>
      <c r="C17" s="20" t="s">
        <v>19</v>
      </c>
      <c r="D17" s="21"/>
      <c r="E17" s="21"/>
      <c r="F17" s="21"/>
      <c r="G17" s="21">
        <f t="shared" si="0"/>
        <v>113367605</v>
      </c>
      <c r="I17" s="3"/>
      <c r="J17" s="3"/>
    </row>
    <row r="18" spans="1:10" x14ac:dyDescent="0.25">
      <c r="A18" s="24"/>
      <c r="B18" s="25"/>
      <c r="C18" s="20" t="s">
        <v>20</v>
      </c>
      <c r="D18" s="21" t="s">
        <v>48</v>
      </c>
      <c r="E18" s="21">
        <v>210594</v>
      </c>
      <c r="F18" s="21"/>
      <c r="G18" s="21">
        <f t="shared" si="0"/>
        <v>113578199</v>
      </c>
    </row>
    <row r="19" spans="1:10" x14ac:dyDescent="0.25">
      <c r="A19" s="24"/>
      <c r="B19" s="25"/>
      <c r="C19" s="20" t="s">
        <v>21</v>
      </c>
      <c r="D19" s="21" t="s">
        <v>47</v>
      </c>
      <c r="E19" s="21">
        <v>631795</v>
      </c>
      <c r="F19" s="21"/>
      <c r="G19" s="21">
        <f t="shared" si="0"/>
        <v>114209994</v>
      </c>
    </row>
    <row r="20" spans="1:10" x14ac:dyDescent="0.25">
      <c r="A20" s="24"/>
      <c r="B20" s="25"/>
      <c r="C20" s="20" t="s">
        <v>22</v>
      </c>
      <c r="D20" s="21" t="s">
        <v>49</v>
      </c>
      <c r="E20" s="21">
        <v>1187</v>
      </c>
      <c r="F20" s="21"/>
      <c r="G20" s="21">
        <f t="shared" si="0"/>
        <v>114211181</v>
      </c>
    </row>
    <row r="21" spans="1:10" x14ac:dyDescent="0.25">
      <c r="A21" s="24"/>
      <c r="B21" s="25"/>
      <c r="C21" s="20" t="s">
        <v>23</v>
      </c>
      <c r="D21" s="21" t="s">
        <v>24</v>
      </c>
      <c r="E21" s="21"/>
      <c r="F21" s="21"/>
      <c r="G21" s="21"/>
    </row>
    <row r="22" spans="1:10" x14ac:dyDescent="0.25">
      <c r="A22" s="24"/>
      <c r="B22" s="25"/>
      <c r="C22" s="20" t="s">
        <v>37</v>
      </c>
      <c r="D22" s="21"/>
      <c r="E22" s="21"/>
      <c r="F22" s="21">
        <v>7375858</v>
      </c>
      <c r="G22" s="21">
        <f>G20-F22</f>
        <v>106835323</v>
      </c>
      <c r="I22" s="3"/>
    </row>
    <row r="23" spans="1:10" x14ac:dyDescent="0.25">
      <c r="A23" s="24"/>
      <c r="B23" s="25"/>
      <c r="C23" s="20" t="s">
        <v>25</v>
      </c>
      <c r="D23" s="21"/>
      <c r="E23" s="21"/>
      <c r="F23" s="21">
        <f>E16</f>
        <v>182921</v>
      </c>
      <c r="G23" s="21">
        <f t="shared" ref="G23:G36" si="1">G22-F23</f>
        <v>106652402</v>
      </c>
      <c r="I23" s="6"/>
    </row>
    <row r="24" spans="1:10" x14ac:dyDescent="0.25">
      <c r="A24" s="24"/>
      <c r="B24" s="25"/>
      <c r="C24" s="20" t="s">
        <v>26</v>
      </c>
      <c r="D24" s="21"/>
      <c r="E24" s="21"/>
      <c r="F24" s="21">
        <v>0</v>
      </c>
      <c r="G24" s="21">
        <f t="shared" si="1"/>
        <v>106652402</v>
      </c>
      <c r="I24" s="6"/>
    </row>
    <row r="25" spans="1:10" x14ac:dyDescent="0.25">
      <c r="A25" s="24"/>
      <c r="B25" s="25"/>
      <c r="C25" s="20" t="s">
        <v>27</v>
      </c>
      <c r="D25" s="21"/>
      <c r="E25" s="21"/>
      <c r="F25" s="21">
        <v>0</v>
      </c>
      <c r="G25" s="21">
        <f t="shared" si="1"/>
        <v>106652402</v>
      </c>
      <c r="I25" s="6"/>
    </row>
    <row r="26" spans="1:10" x14ac:dyDescent="0.25">
      <c r="A26" s="24"/>
      <c r="B26" s="25"/>
      <c r="C26" s="20" t="s">
        <v>28</v>
      </c>
      <c r="D26" s="21"/>
      <c r="E26" s="21"/>
      <c r="F26" s="21">
        <v>0</v>
      </c>
      <c r="G26" s="21">
        <f t="shared" si="1"/>
        <v>106652402</v>
      </c>
      <c r="I26" s="6"/>
    </row>
    <row r="27" spans="1:10" x14ac:dyDescent="0.25">
      <c r="A27" s="24"/>
      <c r="B27" s="25"/>
      <c r="C27" s="20" t="s">
        <v>14</v>
      </c>
      <c r="D27" s="21"/>
      <c r="E27" s="21"/>
      <c r="F27" s="21">
        <f>E12</f>
        <v>4225130</v>
      </c>
      <c r="G27" s="21">
        <f t="shared" si="1"/>
        <v>102427272</v>
      </c>
      <c r="I27" s="6"/>
    </row>
    <row r="28" spans="1:10" x14ac:dyDescent="0.25">
      <c r="A28" s="24"/>
      <c r="B28" s="25"/>
      <c r="C28" s="20" t="s">
        <v>50</v>
      </c>
      <c r="D28" s="21"/>
      <c r="E28" s="21"/>
      <c r="F28" s="21">
        <v>0</v>
      </c>
      <c r="G28" s="21">
        <f t="shared" si="1"/>
        <v>102427272</v>
      </c>
      <c r="I28" s="6"/>
    </row>
    <row r="29" spans="1:10" x14ac:dyDescent="0.25">
      <c r="A29" s="24"/>
      <c r="B29" s="25"/>
      <c r="C29" s="20" t="s">
        <v>29</v>
      </c>
      <c r="D29" s="21"/>
      <c r="E29" s="21"/>
      <c r="F29" s="21">
        <v>0</v>
      </c>
      <c r="G29" s="21">
        <f t="shared" si="1"/>
        <v>102427272</v>
      </c>
    </row>
    <row r="30" spans="1:10" x14ac:dyDescent="0.25">
      <c r="A30" s="24"/>
      <c r="B30" s="25"/>
      <c r="C30" s="20" t="s">
        <v>30</v>
      </c>
      <c r="D30" s="21"/>
      <c r="E30" s="21"/>
      <c r="F30" s="21">
        <f>E18</f>
        <v>210594</v>
      </c>
      <c r="G30" s="21">
        <f t="shared" si="1"/>
        <v>102216678</v>
      </c>
      <c r="J30" s="4"/>
    </row>
    <row r="31" spans="1:10" x14ac:dyDescent="0.25">
      <c r="A31" s="24"/>
      <c r="B31" s="25"/>
      <c r="C31" s="20" t="s">
        <v>31</v>
      </c>
      <c r="D31" s="21"/>
      <c r="E31" s="21"/>
      <c r="F31" s="21">
        <f>E19</f>
        <v>631795</v>
      </c>
      <c r="G31" s="21">
        <f t="shared" si="1"/>
        <v>101584883</v>
      </c>
    </row>
    <row r="32" spans="1:10" x14ac:dyDescent="0.25">
      <c r="A32" s="24"/>
      <c r="B32" s="25"/>
      <c r="C32" s="20" t="s">
        <v>38</v>
      </c>
      <c r="D32" s="21"/>
      <c r="E32" s="21"/>
      <c r="F32" s="21">
        <v>1056283</v>
      </c>
      <c r="G32" s="21">
        <f t="shared" si="1"/>
        <v>100528600</v>
      </c>
    </row>
    <row r="33" spans="1:10" x14ac:dyDescent="0.25">
      <c r="A33" s="24"/>
      <c r="B33" s="25"/>
      <c r="C33" s="20" t="s">
        <v>32</v>
      </c>
      <c r="D33" s="21"/>
      <c r="E33" s="21"/>
      <c r="F33" s="21">
        <v>0</v>
      </c>
      <c r="G33" s="21">
        <f t="shared" si="1"/>
        <v>100528600</v>
      </c>
    </row>
    <row r="34" spans="1:10" x14ac:dyDescent="0.25">
      <c r="A34" s="24"/>
      <c r="B34" s="25"/>
      <c r="C34" s="20" t="s">
        <v>33</v>
      </c>
      <c r="D34" s="21"/>
      <c r="E34" s="21"/>
      <c r="F34" s="21">
        <v>0</v>
      </c>
      <c r="G34" s="21">
        <f t="shared" si="1"/>
        <v>100528600</v>
      </c>
    </row>
    <row r="35" spans="1:10" x14ac:dyDescent="0.25">
      <c r="A35" s="24"/>
      <c r="B35" s="25"/>
      <c r="C35" s="20" t="s">
        <v>34</v>
      </c>
      <c r="D35" s="21"/>
      <c r="E35" s="21"/>
      <c r="F35" s="21">
        <v>0</v>
      </c>
      <c r="G35" s="21">
        <f t="shared" si="1"/>
        <v>100528600</v>
      </c>
    </row>
    <row r="36" spans="1:10" x14ac:dyDescent="0.25">
      <c r="A36" s="24">
        <v>2</v>
      </c>
      <c r="B36" s="26" t="s">
        <v>51</v>
      </c>
      <c r="C36" s="20" t="s">
        <v>34</v>
      </c>
      <c r="D36" s="21"/>
      <c r="E36" s="21"/>
      <c r="F36" s="21">
        <v>0</v>
      </c>
      <c r="G36" s="21">
        <f t="shared" si="1"/>
        <v>100528600</v>
      </c>
    </row>
    <row r="37" spans="1:10" x14ac:dyDescent="0.25">
      <c r="A37" s="24">
        <v>3</v>
      </c>
      <c r="B37" s="26" t="s">
        <v>51</v>
      </c>
      <c r="C37" s="20" t="s">
        <v>36</v>
      </c>
      <c r="D37" s="21"/>
      <c r="E37" s="21" t="s">
        <v>35</v>
      </c>
      <c r="F37" s="21" t="s">
        <v>35</v>
      </c>
      <c r="G37" s="21"/>
      <c r="I37" s="3"/>
    </row>
    <row r="38" spans="1:10" x14ac:dyDescent="0.25">
      <c r="A38" s="24">
        <v>4</v>
      </c>
      <c r="B38" s="26" t="s">
        <v>51</v>
      </c>
      <c r="C38" s="20" t="s">
        <v>54</v>
      </c>
      <c r="D38" s="21"/>
      <c r="E38" s="21"/>
      <c r="F38" s="22">
        <v>100528600</v>
      </c>
      <c r="G38" s="22">
        <f>G36-F38</f>
        <v>0</v>
      </c>
    </row>
    <row r="39" spans="1:10" s="7" customFormat="1" ht="21.75" customHeight="1" x14ac:dyDescent="0.25">
      <c r="A39" s="24">
        <v>5</v>
      </c>
      <c r="B39" s="26" t="s">
        <v>56</v>
      </c>
      <c r="C39" s="12" t="s">
        <v>55</v>
      </c>
      <c r="D39" s="22"/>
      <c r="E39" s="22">
        <v>83422200</v>
      </c>
      <c r="F39" s="22"/>
      <c r="G39" s="22">
        <f>G38+E39</f>
        <v>83422200</v>
      </c>
    </row>
    <row r="40" spans="1:10" ht="51" x14ac:dyDescent="0.25">
      <c r="A40" s="36">
        <v>6</v>
      </c>
      <c r="B40" s="34" t="s">
        <v>76</v>
      </c>
      <c r="C40" s="49" t="s">
        <v>90</v>
      </c>
      <c r="D40" s="35" t="s">
        <v>77</v>
      </c>
      <c r="E40" s="22"/>
      <c r="F40" s="21">
        <v>126000</v>
      </c>
      <c r="G40" s="21">
        <f>G39-F40</f>
        <v>83296200</v>
      </c>
    </row>
    <row r="41" spans="1:10" ht="51" x14ac:dyDescent="0.25">
      <c r="A41" s="36">
        <v>7</v>
      </c>
      <c r="B41" s="34" t="s">
        <v>76</v>
      </c>
      <c r="C41" s="49" t="s">
        <v>89</v>
      </c>
      <c r="D41" s="35" t="s">
        <v>78</v>
      </c>
      <c r="E41" s="21"/>
      <c r="F41" s="21">
        <v>824000</v>
      </c>
      <c r="G41" s="21">
        <f>G40-F41</f>
        <v>82472200</v>
      </c>
    </row>
    <row r="42" spans="1:10" ht="51" x14ac:dyDescent="0.25">
      <c r="A42" s="36">
        <v>8</v>
      </c>
      <c r="B42" s="34" t="s">
        <v>76</v>
      </c>
      <c r="C42" s="49" t="s">
        <v>91</v>
      </c>
      <c r="D42" s="35" t="s">
        <v>79</v>
      </c>
      <c r="E42" s="21"/>
      <c r="F42" s="21">
        <v>1022000</v>
      </c>
      <c r="G42" s="21">
        <f t="shared" ref="G42:G78" si="2">G41-F42</f>
        <v>81450200</v>
      </c>
      <c r="I42" s="3"/>
      <c r="J42" s="3"/>
    </row>
    <row r="43" spans="1:10" ht="51" x14ac:dyDescent="0.25">
      <c r="A43" s="36">
        <v>9</v>
      </c>
      <c r="B43" s="34" t="s">
        <v>76</v>
      </c>
      <c r="C43" s="49" t="s">
        <v>92</v>
      </c>
      <c r="D43" s="35" t="s">
        <v>80</v>
      </c>
      <c r="E43" s="21"/>
      <c r="F43" s="21">
        <v>343500</v>
      </c>
      <c r="G43" s="21">
        <f t="shared" si="2"/>
        <v>81106700</v>
      </c>
    </row>
    <row r="44" spans="1:10" ht="41.25" customHeight="1" x14ac:dyDescent="0.25">
      <c r="A44" s="36">
        <v>10</v>
      </c>
      <c r="B44" s="34" t="s">
        <v>76</v>
      </c>
      <c r="C44" s="49" t="s">
        <v>93</v>
      </c>
      <c r="D44" s="35" t="s">
        <v>83</v>
      </c>
      <c r="E44" s="21"/>
      <c r="F44" s="21">
        <v>750000</v>
      </c>
      <c r="G44" s="21">
        <f t="shared" si="2"/>
        <v>80356700</v>
      </c>
    </row>
    <row r="45" spans="1:10" ht="42.75" customHeight="1" x14ac:dyDescent="0.25">
      <c r="A45" s="36">
        <v>11</v>
      </c>
      <c r="B45" s="39" t="s">
        <v>76</v>
      </c>
      <c r="C45" s="50" t="s">
        <v>93</v>
      </c>
      <c r="D45" s="40" t="s">
        <v>83</v>
      </c>
      <c r="E45" s="42"/>
      <c r="F45" s="42">
        <v>424000</v>
      </c>
      <c r="G45" s="21">
        <f t="shared" si="2"/>
        <v>79932700</v>
      </c>
    </row>
    <row r="46" spans="1:10" ht="40.5" customHeight="1" x14ac:dyDescent="0.25">
      <c r="A46" s="36">
        <v>12</v>
      </c>
      <c r="B46" s="34" t="s">
        <v>76</v>
      </c>
      <c r="C46" s="49" t="s">
        <v>94</v>
      </c>
      <c r="D46" s="35" t="s">
        <v>83</v>
      </c>
      <c r="E46" s="21"/>
      <c r="F46" s="21">
        <v>1713000</v>
      </c>
      <c r="G46" s="21">
        <f t="shared" si="2"/>
        <v>78219700</v>
      </c>
    </row>
    <row r="47" spans="1:10" ht="41.25" customHeight="1" x14ac:dyDescent="0.25">
      <c r="A47" s="36">
        <v>13</v>
      </c>
      <c r="B47" s="34" t="s">
        <v>76</v>
      </c>
      <c r="C47" s="49" t="s">
        <v>94</v>
      </c>
      <c r="D47" s="35" t="s">
        <v>83</v>
      </c>
      <c r="E47" s="21"/>
      <c r="F47" s="21">
        <v>1288500</v>
      </c>
      <c r="G47" s="21">
        <f t="shared" si="2"/>
        <v>76931200</v>
      </c>
    </row>
    <row r="48" spans="1:10" ht="76.5" x14ac:dyDescent="0.25">
      <c r="A48" s="36">
        <v>14</v>
      </c>
      <c r="B48" s="34" t="s">
        <v>76</v>
      </c>
      <c r="C48" s="49" t="s">
        <v>95</v>
      </c>
      <c r="D48" s="35" t="s">
        <v>84</v>
      </c>
      <c r="E48" s="21"/>
      <c r="F48" s="21">
        <v>9813700</v>
      </c>
      <c r="G48" s="21">
        <f t="shared" si="2"/>
        <v>67117500</v>
      </c>
    </row>
    <row r="49" spans="1:7" ht="39.75" customHeight="1" x14ac:dyDescent="0.25">
      <c r="A49" s="36">
        <v>15</v>
      </c>
      <c r="B49" s="34" t="s">
        <v>76</v>
      </c>
      <c r="C49" s="49" t="s">
        <v>96</v>
      </c>
      <c r="D49" s="35" t="s">
        <v>85</v>
      </c>
      <c r="E49" s="21"/>
      <c r="F49" s="21">
        <v>845400</v>
      </c>
      <c r="G49" s="21">
        <f t="shared" si="2"/>
        <v>66272100</v>
      </c>
    </row>
    <row r="50" spans="1:7" ht="41.25" customHeight="1" x14ac:dyDescent="0.25">
      <c r="A50" s="36">
        <v>16</v>
      </c>
      <c r="B50" s="34" t="s">
        <v>76</v>
      </c>
      <c r="C50" s="49" t="s">
        <v>97</v>
      </c>
      <c r="D50" s="35" t="s">
        <v>86</v>
      </c>
      <c r="E50" s="21"/>
      <c r="F50" s="21">
        <v>1928700</v>
      </c>
      <c r="G50" s="21">
        <f t="shared" si="2"/>
        <v>64343400</v>
      </c>
    </row>
    <row r="51" spans="1:7" ht="42.75" customHeight="1" x14ac:dyDescent="0.25">
      <c r="A51" s="36">
        <v>17</v>
      </c>
      <c r="B51" s="34" t="s">
        <v>76</v>
      </c>
      <c r="C51" s="49" t="s">
        <v>98</v>
      </c>
      <c r="D51" s="35" t="s">
        <v>87</v>
      </c>
      <c r="E51" s="21"/>
      <c r="F51" s="21">
        <v>1374000</v>
      </c>
      <c r="G51" s="21">
        <f t="shared" si="2"/>
        <v>62969400</v>
      </c>
    </row>
    <row r="52" spans="1:7" ht="51" x14ac:dyDescent="0.25">
      <c r="A52" s="36">
        <v>18</v>
      </c>
      <c r="B52" s="34" t="s">
        <v>76</v>
      </c>
      <c r="C52" s="32" t="s">
        <v>99</v>
      </c>
      <c r="D52" s="51" t="s">
        <v>88</v>
      </c>
      <c r="E52" s="21"/>
      <c r="F52" s="21">
        <v>3075000</v>
      </c>
      <c r="G52" s="21">
        <f t="shared" si="2"/>
        <v>59894400</v>
      </c>
    </row>
    <row r="53" spans="1:7" ht="41.25" customHeight="1" x14ac:dyDescent="0.25">
      <c r="A53" s="36">
        <v>19</v>
      </c>
      <c r="B53" s="34" t="s">
        <v>76</v>
      </c>
      <c r="C53" s="49" t="s">
        <v>100</v>
      </c>
      <c r="D53" s="37" t="s">
        <v>101</v>
      </c>
      <c r="E53" s="33"/>
      <c r="F53" s="21">
        <v>1495600</v>
      </c>
      <c r="G53" s="21">
        <f t="shared" si="2"/>
        <v>58398800</v>
      </c>
    </row>
    <row r="54" spans="1:7" ht="56.25" customHeight="1" x14ac:dyDescent="0.25">
      <c r="A54" s="43">
        <v>20</v>
      </c>
      <c r="B54" s="44" t="s">
        <v>76</v>
      </c>
      <c r="C54" s="52" t="s">
        <v>105</v>
      </c>
      <c r="D54" s="53" t="s">
        <v>104</v>
      </c>
      <c r="E54" s="47"/>
      <c r="F54" s="47">
        <v>1554000</v>
      </c>
      <c r="G54" s="47">
        <f t="shared" si="2"/>
        <v>56844800</v>
      </c>
    </row>
    <row r="55" spans="1:7" ht="55.5" customHeight="1" x14ac:dyDescent="0.25">
      <c r="A55" s="36">
        <v>21</v>
      </c>
      <c r="B55" s="34" t="s">
        <v>76</v>
      </c>
      <c r="C55" s="32" t="s">
        <v>106</v>
      </c>
      <c r="D55" s="51" t="s">
        <v>104</v>
      </c>
      <c r="E55" s="21"/>
      <c r="F55" s="21">
        <v>841800</v>
      </c>
      <c r="G55" s="21">
        <f t="shared" si="2"/>
        <v>56003000</v>
      </c>
    </row>
    <row r="56" spans="1:7" ht="52.5" customHeight="1" x14ac:dyDescent="0.25">
      <c r="A56" s="36">
        <v>22</v>
      </c>
      <c r="B56" s="34" t="s">
        <v>76</v>
      </c>
      <c r="C56" s="32" t="s">
        <v>111</v>
      </c>
      <c r="D56" s="51" t="s">
        <v>107</v>
      </c>
      <c r="E56" s="21"/>
      <c r="F56" s="21">
        <v>1105000</v>
      </c>
      <c r="G56" s="21">
        <f t="shared" si="2"/>
        <v>54898000</v>
      </c>
    </row>
    <row r="57" spans="1:7" ht="40.5" customHeight="1" x14ac:dyDescent="0.25">
      <c r="A57" s="36">
        <v>23</v>
      </c>
      <c r="B57" s="34" t="s">
        <v>76</v>
      </c>
      <c r="C57" s="49" t="s">
        <v>113</v>
      </c>
      <c r="D57" s="35" t="s">
        <v>112</v>
      </c>
      <c r="E57" s="21"/>
      <c r="F57" s="21">
        <v>330200</v>
      </c>
      <c r="G57" s="21">
        <f t="shared" si="2"/>
        <v>54567800</v>
      </c>
    </row>
    <row r="58" spans="1:7" ht="45.75" customHeight="1" x14ac:dyDescent="0.25">
      <c r="A58" s="36">
        <v>24</v>
      </c>
      <c r="B58" s="34" t="s">
        <v>76</v>
      </c>
      <c r="C58" s="49" t="s">
        <v>117</v>
      </c>
      <c r="D58" s="35" t="s">
        <v>114</v>
      </c>
      <c r="E58" s="21"/>
      <c r="F58" s="21">
        <v>972000</v>
      </c>
      <c r="G58" s="21">
        <f t="shared" si="2"/>
        <v>53595800</v>
      </c>
    </row>
    <row r="59" spans="1:7" ht="40.5" customHeight="1" x14ac:dyDescent="0.25">
      <c r="A59" s="36">
        <v>25</v>
      </c>
      <c r="B59" s="34" t="s">
        <v>76</v>
      </c>
      <c r="C59" s="49" t="s">
        <v>118</v>
      </c>
      <c r="D59" s="35" t="s">
        <v>115</v>
      </c>
      <c r="E59" s="21"/>
      <c r="F59" s="21">
        <v>1913900</v>
      </c>
      <c r="G59" s="21">
        <f t="shared" si="2"/>
        <v>51681900</v>
      </c>
    </row>
    <row r="60" spans="1:7" ht="40.5" customHeight="1" x14ac:dyDescent="0.25">
      <c r="A60" s="36">
        <v>26</v>
      </c>
      <c r="B60" s="34" t="s">
        <v>76</v>
      </c>
      <c r="C60" s="49" t="s">
        <v>119</v>
      </c>
      <c r="D60" s="35" t="s">
        <v>116</v>
      </c>
      <c r="E60" s="21"/>
      <c r="F60" s="21">
        <v>229000</v>
      </c>
      <c r="G60" s="21">
        <f t="shared" si="2"/>
        <v>51452900</v>
      </c>
    </row>
    <row r="61" spans="1:7" ht="51" x14ac:dyDescent="0.25">
      <c r="A61" s="36">
        <v>27</v>
      </c>
      <c r="B61" s="34" t="s">
        <v>76</v>
      </c>
      <c r="C61" s="49" t="s">
        <v>121</v>
      </c>
      <c r="D61" s="35" t="s">
        <v>120</v>
      </c>
      <c r="E61" s="21"/>
      <c r="F61" s="21">
        <v>2750000</v>
      </c>
      <c r="G61" s="21">
        <f t="shared" si="2"/>
        <v>48702900</v>
      </c>
    </row>
    <row r="62" spans="1:7" ht="53.25" customHeight="1" x14ac:dyDescent="0.25">
      <c r="A62" s="36">
        <v>28</v>
      </c>
      <c r="B62" s="34" t="s">
        <v>110</v>
      </c>
      <c r="C62" s="32" t="s">
        <v>109</v>
      </c>
      <c r="D62" s="51" t="s">
        <v>107</v>
      </c>
      <c r="E62" s="21"/>
      <c r="F62" s="21">
        <v>500000</v>
      </c>
      <c r="G62" s="21">
        <f t="shared" si="2"/>
        <v>48202900</v>
      </c>
    </row>
    <row r="63" spans="1:7" ht="51" x14ac:dyDescent="0.25">
      <c r="A63" s="36">
        <v>29</v>
      </c>
      <c r="B63" s="34" t="s">
        <v>81</v>
      </c>
      <c r="C63" s="49" t="s">
        <v>122</v>
      </c>
      <c r="D63" s="35" t="s">
        <v>123</v>
      </c>
      <c r="E63" s="21"/>
      <c r="F63" s="21">
        <v>499200</v>
      </c>
      <c r="G63" s="21">
        <f t="shared" si="2"/>
        <v>47703700</v>
      </c>
    </row>
    <row r="64" spans="1:7" ht="51" x14ac:dyDescent="0.25">
      <c r="A64" s="36">
        <v>30</v>
      </c>
      <c r="B64" s="34" t="s">
        <v>81</v>
      </c>
      <c r="C64" s="49" t="s">
        <v>125</v>
      </c>
      <c r="D64" s="35" t="s">
        <v>124</v>
      </c>
      <c r="E64" s="21"/>
      <c r="F64" s="21">
        <v>450100</v>
      </c>
      <c r="G64" s="21">
        <f t="shared" si="2"/>
        <v>47253600</v>
      </c>
    </row>
    <row r="65" spans="1:7" ht="51" x14ac:dyDescent="0.25">
      <c r="A65" s="36">
        <v>31</v>
      </c>
      <c r="B65" s="34" t="s">
        <v>81</v>
      </c>
      <c r="C65" s="49" t="s">
        <v>126</v>
      </c>
      <c r="D65" s="35" t="s">
        <v>127</v>
      </c>
      <c r="E65" s="21"/>
      <c r="F65" s="21">
        <v>625000</v>
      </c>
      <c r="G65" s="21">
        <f t="shared" si="2"/>
        <v>46628600</v>
      </c>
    </row>
    <row r="66" spans="1:7" ht="51" x14ac:dyDescent="0.25">
      <c r="A66" s="36">
        <v>32</v>
      </c>
      <c r="B66" s="34" t="s">
        <v>81</v>
      </c>
      <c r="C66" s="49" t="s">
        <v>129</v>
      </c>
      <c r="D66" s="35" t="s">
        <v>128</v>
      </c>
      <c r="E66" s="21"/>
      <c r="F66" s="21">
        <v>572500</v>
      </c>
      <c r="G66" s="21">
        <f t="shared" si="2"/>
        <v>46056100</v>
      </c>
    </row>
    <row r="67" spans="1:7" ht="51" x14ac:dyDescent="0.25">
      <c r="A67" s="36">
        <v>33</v>
      </c>
      <c r="B67" s="34" t="s">
        <v>81</v>
      </c>
      <c r="C67" s="49" t="s">
        <v>130</v>
      </c>
      <c r="D67" s="35" t="s">
        <v>131</v>
      </c>
      <c r="E67" s="21"/>
      <c r="F67" s="21">
        <v>384000</v>
      </c>
      <c r="G67" s="21">
        <f t="shared" si="2"/>
        <v>45672100</v>
      </c>
    </row>
    <row r="68" spans="1:7" ht="51" x14ac:dyDescent="0.25">
      <c r="A68" s="36">
        <v>34</v>
      </c>
      <c r="B68" s="34" t="s">
        <v>81</v>
      </c>
      <c r="C68" s="49" t="s">
        <v>132</v>
      </c>
      <c r="D68" s="35" t="s">
        <v>133</v>
      </c>
      <c r="E68" s="21"/>
      <c r="F68" s="21">
        <v>488200</v>
      </c>
      <c r="G68" s="21">
        <f t="shared" si="2"/>
        <v>45183900</v>
      </c>
    </row>
    <row r="69" spans="1:7" ht="51" x14ac:dyDescent="0.25">
      <c r="A69" s="36">
        <v>35</v>
      </c>
      <c r="B69" s="34" t="s">
        <v>81</v>
      </c>
      <c r="C69" s="49" t="s">
        <v>134</v>
      </c>
      <c r="D69" s="35" t="s">
        <v>135</v>
      </c>
      <c r="E69" s="21"/>
      <c r="F69" s="21">
        <v>750000</v>
      </c>
      <c r="G69" s="21">
        <f t="shared" si="2"/>
        <v>44433900</v>
      </c>
    </row>
    <row r="70" spans="1:7" ht="51" x14ac:dyDescent="0.25">
      <c r="A70" s="36">
        <v>36</v>
      </c>
      <c r="B70" s="34" t="s">
        <v>81</v>
      </c>
      <c r="C70" s="49" t="s">
        <v>137</v>
      </c>
      <c r="D70" s="35" t="s">
        <v>136</v>
      </c>
      <c r="E70" s="21"/>
      <c r="F70" s="21">
        <v>924600</v>
      </c>
      <c r="G70" s="21">
        <f t="shared" si="2"/>
        <v>43509300</v>
      </c>
    </row>
    <row r="71" spans="1:7" ht="63.75" x14ac:dyDescent="0.25">
      <c r="A71" s="36">
        <v>37</v>
      </c>
      <c r="B71" s="34" t="s">
        <v>81</v>
      </c>
      <c r="C71" s="49" t="s">
        <v>139</v>
      </c>
      <c r="D71" s="35" t="s">
        <v>138</v>
      </c>
      <c r="E71" s="21"/>
      <c r="F71" s="21">
        <v>3600000</v>
      </c>
      <c r="G71" s="21">
        <f t="shared" si="2"/>
        <v>39909300</v>
      </c>
    </row>
    <row r="72" spans="1:7" ht="54" customHeight="1" x14ac:dyDescent="0.25">
      <c r="A72" s="36">
        <v>38</v>
      </c>
      <c r="B72" s="34" t="s">
        <v>81</v>
      </c>
      <c r="C72" s="49" t="s">
        <v>147</v>
      </c>
      <c r="D72" s="35" t="s">
        <v>82</v>
      </c>
      <c r="E72" s="21"/>
      <c r="F72" s="21">
        <v>4000000</v>
      </c>
      <c r="G72" s="21">
        <f t="shared" si="2"/>
        <v>35909300</v>
      </c>
    </row>
    <row r="73" spans="1:7" ht="45" customHeight="1" x14ac:dyDescent="0.25">
      <c r="A73" s="36">
        <v>39</v>
      </c>
      <c r="B73" s="34" t="s">
        <v>81</v>
      </c>
      <c r="C73" s="49" t="s">
        <v>102</v>
      </c>
      <c r="D73" s="35" t="s">
        <v>103</v>
      </c>
      <c r="E73" s="21"/>
      <c r="F73" s="21">
        <v>2000000</v>
      </c>
      <c r="G73" s="21">
        <f t="shared" si="2"/>
        <v>33909300</v>
      </c>
    </row>
    <row r="74" spans="1:7" ht="54" customHeight="1" x14ac:dyDescent="0.25">
      <c r="A74" s="36">
        <v>40</v>
      </c>
      <c r="B74" s="34" t="s">
        <v>57</v>
      </c>
      <c r="C74" s="32" t="s">
        <v>105</v>
      </c>
      <c r="D74" s="51" t="s">
        <v>104</v>
      </c>
      <c r="E74" s="21"/>
      <c r="F74" s="21">
        <v>2144800</v>
      </c>
      <c r="G74" s="21">
        <f t="shared" si="2"/>
        <v>31764500</v>
      </c>
    </row>
    <row r="75" spans="1:7" ht="53.25" customHeight="1" x14ac:dyDescent="0.25">
      <c r="A75" s="36">
        <v>41</v>
      </c>
      <c r="B75" s="34" t="s">
        <v>57</v>
      </c>
      <c r="C75" s="32" t="s">
        <v>141</v>
      </c>
      <c r="D75" s="51" t="s">
        <v>140</v>
      </c>
      <c r="E75" s="42"/>
      <c r="F75" s="42">
        <v>1790000</v>
      </c>
      <c r="G75" s="21">
        <f t="shared" si="2"/>
        <v>29974500</v>
      </c>
    </row>
    <row r="76" spans="1:7" ht="53.25" customHeight="1" x14ac:dyDescent="0.25">
      <c r="A76" s="36">
        <v>42</v>
      </c>
      <c r="B76" s="34" t="s">
        <v>57</v>
      </c>
      <c r="C76" s="32" t="s">
        <v>141</v>
      </c>
      <c r="D76" s="51" t="s">
        <v>140</v>
      </c>
      <c r="E76" s="42"/>
      <c r="F76" s="42">
        <v>72000</v>
      </c>
      <c r="G76" s="21">
        <f t="shared" si="2"/>
        <v>29902500</v>
      </c>
    </row>
    <row r="77" spans="1:7" ht="53.25" customHeight="1" x14ac:dyDescent="0.25">
      <c r="A77" s="36">
        <v>43</v>
      </c>
      <c r="B77" s="34" t="s">
        <v>57</v>
      </c>
      <c r="C77" s="32" t="s">
        <v>108</v>
      </c>
      <c r="D77" s="51" t="s">
        <v>107</v>
      </c>
      <c r="E77" s="21"/>
      <c r="F77" s="21">
        <v>60000</v>
      </c>
      <c r="G77" s="21">
        <f t="shared" si="2"/>
        <v>29842500</v>
      </c>
    </row>
    <row r="78" spans="1:7" ht="53.25" customHeight="1" x14ac:dyDescent="0.25">
      <c r="A78" s="36">
        <v>44</v>
      </c>
      <c r="B78" s="34" t="s">
        <v>57</v>
      </c>
      <c r="C78" s="32" t="s">
        <v>109</v>
      </c>
      <c r="D78" s="51" t="s">
        <v>107</v>
      </c>
      <c r="E78" s="21"/>
      <c r="F78" s="21">
        <v>109200</v>
      </c>
      <c r="G78" s="21">
        <f t="shared" si="2"/>
        <v>29733300</v>
      </c>
    </row>
    <row r="79" spans="1:7" x14ac:dyDescent="0.25">
      <c r="A79" s="36">
        <v>45</v>
      </c>
      <c r="B79" s="34" t="s">
        <v>57</v>
      </c>
      <c r="C79" s="54" t="s">
        <v>58</v>
      </c>
      <c r="D79" s="55"/>
      <c r="E79" s="22">
        <v>5160000</v>
      </c>
      <c r="F79" s="21"/>
      <c r="G79" s="21">
        <f>G78+E79</f>
        <v>34893300</v>
      </c>
    </row>
    <row r="80" spans="1:7" ht="39.75" customHeight="1" x14ac:dyDescent="0.25">
      <c r="A80" s="36">
        <v>46</v>
      </c>
      <c r="B80" s="34" t="s">
        <v>57</v>
      </c>
      <c r="C80" s="49" t="s">
        <v>64</v>
      </c>
      <c r="D80" s="38" t="s">
        <v>65</v>
      </c>
      <c r="E80" s="31"/>
      <c r="F80" s="21">
        <v>5160000</v>
      </c>
      <c r="G80" s="21">
        <f>G79-F80</f>
        <v>29733300</v>
      </c>
    </row>
    <row r="81" spans="1:7" x14ac:dyDescent="0.25">
      <c r="A81" s="36">
        <v>47</v>
      </c>
      <c r="B81" s="34" t="s">
        <v>57</v>
      </c>
      <c r="C81" s="54" t="s">
        <v>59</v>
      </c>
      <c r="D81" s="55"/>
      <c r="E81" s="22">
        <v>5000000</v>
      </c>
      <c r="F81" s="21"/>
      <c r="G81" s="21">
        <f>G80+E81</f>
        <v>34733300</v>
      </c>
    </row>
    <row r="82" spans="1:7" ht="41.25" customHeight="1" x14ac:dyDescent="0.25">
      <c r="A82" s="36">
        <v>48</v>
      </c>
      <c r="B82" s="34" t="s">
        <v>57</v>
      </c>
      <c r="C82" s="49" t="s">
        <v>66</v>
      </c>
      <c r="D82" s="55" t="s">
        <v>67</v>
      </c>
      <c r="E82" s="22"/>
      <c r="F82" s="21">
        <v>5000000</v>
      </c>
      <c r="G82" s="21">
        <f>G81-F82</f>
        <v>29733300</v>
      </c>
    </row>
    <row r="83" spans="1:7" x14ac:dyDescent="0.25">
      <c r="A83" s="36">
        <v>49</v>
      </c>
      <c r="B83" s="34" t="s">
        <v>57</v>
      </c>
      <c r="C83" s="54" t="s">
        <v>60</v>
      </c>
      <c r="D83" s="55"/>
      <c r="E83" s="22">
        <v>3570000</v>
      </c>
      <c r="F83" s="21"/>
      <c r="G83" s="21">
        <f>G82+E83</f>
        <v>33303300</v>
      </c>
    </row>
    <row r="84" spans="1:7" ht="57" customHeight="1" x14ac:dyDescent="0.25">
      <c r="A84" s="43" t="s">
        <v>24</v>
      </c>
      <c r="B84" s="44" t="s">
        <v>57</v>
      </c>
      <c r="C84" s="56" t="s">
        <v>73</v>
      </c>
      <c r="D84" s="45" t="s">
        <v>72</v>
      </c>
      <c r="E84" s="46"/>
      <c r="F84" s="47">
        <v>3570000</v>
      </c>
      <c r="G84" s="47">
        <f t="shared" ref="G84:G86" si="3">G83-F84</f>
        <v>29733300</v>
      </c>
    </row>
    <row r="85" spans="1:7" x14ac:dyDescent="0.25">
      <c r="A85" s="36">
        <v>51</v>
      </c>
      <c r="B85" s="34" t="s">
        <v>57</v>
      </c>
      <c r="C85" s="54" t="s">
        <v>61</v>
      </c>
      <c r="D85" s="55"/>
      <c r="E85" s="22">
        <v>8142000</v>
      </c>
      <c r="F85" s="21"/>
      <c r="G85" s="21">
        <f>G84+E85</f>
        <v>37875300</v>
      </c>
    </row>
    <row r="86" spans="1:7" ht="45.75" customHeight="1" x14ac:dyDescent="0.25">
      <c r="A86" s="36">
        <v>52</v>
      </c>
      <c r="B86" s="34" t="s">
        <v>57</v>
      </c>
      <c r="C86" s="49" t="s">
        <v>70</v>
      </c>
      <c r="D86" s="35" t="s">
        <v>71</v>
      </c>
      <c r="E86" s="22"/>
      <c r="F86" s="21">
        <v>8142000</v>
      </c>
      <c r="G86" s="21">
        <f t="shared" si="3"/>
        <v>29733300</v>
      </c>
    </row>
    <row r="87" spans="1:7" x14ac:dyDescent="0.25">
      <c r="A87" s="36">
        <v>53</v>
      </c>
      <c r="B87" s="34" t="s">
        <v>57</v>
      </c>
      <c r="C87" s="54" t="s">
        <v>62</v>
      </c>
      <c r="D87" s="55"/>
      <c r="E87" s="22">
        <v>4422000</v>
      </c>
      <c r="F87" s="21"/>
      <c r="G87" s="21">
        <f>G86+E87</f>
        <v>34155300</v>
      </c>
    </row>
    <row r="88" spans="1:7" ht="57" customHeight="1" x14ac:dyDescent="0.25">
      <c r="A88" s="36">
        <v>54</v>
      </c>
      <c r="B88" s="34" t="s">
        <v>57</v>
      </c>
      <c r="C88" s="49" t="s">
        <v>75</v>
      </c>
      <c r="D88" s="35" t="s">
        <v>74</v>
      </c>
      <c r="E88" s="22"/>
      <c r="F88" s="21">
        <v>4422000</v>
      </c>
      <c r="G88" s="21">
        <f>G87-F88</f>
        <v>29733300</v>
      </c>
    </row>
    <row r="89" spans="1:7" x14ac:dyDescent="0.25">
      <c r="A89" s="36">
        <v>55</v>
      </c>
      <c r="B89" s="34" t="s">
        <v>57</v>
      </c>
      <c r="C89" s="54" t="s">
        <v>63</v>
      </c>
      <c r="D89" s="55"/>
      <c r="E89" s="22">
        <v>5340000</v>
      </c>
      <c r="F89" s="21"/>
      <c r="G89" s="21">
        <f>G88+E89</f>
        <v>35073300</v>
      </c>
    </row>
    <row r="90" spans="1:7" ht="55.5" customHeight="1" x14ac:dyDescent="0.25">
      <c r="A90" s="36">
        <v>56</v>
      </c>
      <c r="B90" s="34" t="s">
        <v>57</v>
      </c>
      <c r="C90" s="49" t="s">
        <v>68</v>
      </c>
      <c r="D90" s="35" t="s">
        <v>69</v>
      </c>
      <c r="E90" s="21"/>
      <c r="F90" s="21">
        <v>5340000</v>
      </c>
      <c r="G90" s="21">
        <f>G89-F90</f>
        <v>29733300</v>
      </c>
    </row>
    <row r="91" spans="1:7" ht="44.25" customHeight="1" x14ac:dyDescent="0.25">
      <c r="A91" s="36">
        <v>57</v>
      </c>
      <c r="B91" s="39" t="s">
        <v>144</v>
      </c>
      <c r="C91" s="50" t="s">
        <v>143</v>
      </c>
      <c r="D91" s="40" t="s">
        <v>142</v>
      </c>
      <c r="E91" s="21"/>
      <c r="F91" s="41">
        <v>1252000</v>
      </c>
      <c r="G91" s="21">
        <f>G90-F91</f>
        <v>28481300</v>
      </c>
    </row>
    <row r="92" spans="1:7" ht="24" customHeight="1" x14ac:dyDescent="0.25">
      <c r="A92" s="24">
        <v>58</v>
      </c>
      <c r="B92" s="61" t="s">
        <v>146</v>
      </c>
      <c r="C92" s="62" t="s">
        <v>145</v>
      </c>
      <c r="D92" s="58"/>
      <c r="E92" s="59">
        <v>54940900</v>
      </c>
      <c r="F92" s="33"/>
      <c r="G92" s="22">
        <f>G91+E92</f>
        <v>83422200</v>
      </c>
    </row>
    <row r="93" spans="1:7" ht="24" customHeight="1" x14ac:dyDescent="0.25">
      <c r="A93" s="24">
        <v>59</v>
      </c>
      <c r="B93" s="61" t="s">
        <v>148</v>
      </c>
      <c r="C93" s="63" t="s">
        <v>149</v>
      </c>
      <c r="D93" s="58"/>
      <c r="E93" s="60">
        <v>4930000</v>
      </c>
      <c r="F93" s="33"/>
      <c r="G93" s="21">
        <f>G92+E93</f>
        <v>88352200</v>
      </c>
    </row>
    <row r="94" spans="1:7" ht="57.75" customHeight="1" x14ac:dyDescent="0.25">
      <c r="A94" s="24">
        <v>60</v>
      </c>
      <c r="B94" s="61" t="s">
        <v>148</v>
      </c>
      <c r="C94" s="64" t="s">
        <v>152</v>
      </c>
      <c r="D94" s="65" t="s">
        <v>153</v>
      </c>
      <c r="E94" s="60"/>
      <c r="F94" s="33">
        <v>1700000</v>
      </c>
      <c r="G94" s="21">
        <f>G93-F94</f>
        <v>86652200</v>
      </c>
    </row>
    <row r="95" spans="1:7" ht="52.5" customHeight="1" x14ac:dyDescent="0.25">
      <c r="A95" s="24">
        <v>61</v>
      </c>
      <c r="B95" s="61" t="s">
        <v>148</v>
      </c>
      <c r="C95" s="64" t="s">
        <v>154</v>
      </c>
      <c r="D95" s="65" t="s">
        <v>153</v>
      </c>
      <c r="E95" s="60"/>
      <c r="F95" s="33">
        <v>1530000</v>
      </c>
      <c r="G95" s="21">
        <f>G94-F95</f>
        <v>85122200</v>
      </c>
    </row>
    <row r="96" spans="1:7" ht="54.75" customHeight="1" x14ac:dyDescent="0.25">
      <c r="A96" s="24">
        <v>62</v>
      </c>
      <c r="B96" s="61" t="s">
        <v>148</v>
      </c>
      <c r="C96" s="64" t="s">
        <v>155</v>
      </c>
      <c r="D96" s="65" t="s">
        <v>153</v>
      </c>
      <c r="E96" s="60"/>
      <c r="F96" s="33">
        <v>1700000</v>
      </c>
      <c r="G96" s="21">
        <f>G95-F96</f>
        <v>83422200</v>
      </c>
    </row>
    <row r="97" spans="1:7" ht="28.5" customHeight="1" x14ac:dyDescent="0.25">
      <c r="A97" s="24">
        <v>63</v>
      </c>
      <c r="B97" s="61" t="s">
        <v>148</v>
      </c>
      <c r="C97" s="63" t="s">
        <v>150</v>
      </c>
      <c r="D97" s="58"/>
      <c r="E97" s="60">
        <v>5100000</v>
      </c>
      <c r="F97" s="33"/>
      <c r="G97" s="21">
        <f>G96+E97</f>
        <v>88522200</v>
      </c>
    </row>
    <row r="98" spans="1:7" ht="66" customHeight="1" x14ac:dyDescent="0.25">
      <c r="A98" s="24">
        <v>64</v>
      </c>
      <c r="B98" s="61" t="s">
        <v>148</v>
      </c>
      <c r="C98" s="66" t="s">
        <v>156</v>
      </c>
      <c r="D98" s="69" t="s">
        <v>157</v>
      </c>
      <c r="E98" s="67"/>
      <c r="F98" s="70">
        <v>2550000</v>
      </c>
      <c r="G98" s="68">
        <f>G97-F98</f>
        <v>85972200</v>
      </c>
    </row>
    <row r="99" spans="1:7" ht="66.75" customHeight="1" x14ac:dyDescent="0.25">
      <c r="A99" s="24">
        <v>65</v>
      </c>
      <c r="B99" s="61" t="s">
        <v>148</v>
      </c>
      <c r="C99" s="66" t="s">
        <v>158</v>
      </c>
      <c r="D99" s="69" t="s">
        <v>157</v>
      </c>
      <c r="E99" s="67"/>
      <c r="F99" s="70">
        <v>2550000</v>
      </c>
      <c r="G99" s="68">
        <f>G98-F99</f>
        <v>83422200</v>
      </c>
    </row>
    <row r="100" spans="1:7" ht="28.5" customHeight="1" x14ac:dyDescent="0.25">
      <c r="A100" s="24">
        <v>66</v>
      </c>
      <c r="B100" s="61" t="s">
        <v>148</v>
      </c>
      <c r="C100" s="63" t="s">
        <v>151</v>
      </c>
      <c r="D100" s="58"/>
      <c r="E100" s="60">
        <v>5100000</v>
      </c>
      <c r="F100" s="33"/>
      <c r="G100" s="21">
        <f>G99+E100</f>
        <v>88522200</v>
      </c>
    </row>
    <row r="101" spans="1:7" ht="58.5" customHeight="1" x14ac:dyDescent="0.25">
      <c r="A101" s="36">
        <v>67</v>
      </c>
      <c r="B101" s="39" t="s">
        <v>148</v>
      </c>
      <c r="C101" s="66" t="s">
        <v>159</v>
      </c>
      <c r="D101" s="65" t="s">
        <v>160</v>
      </c>
      <c r="E101" s="60"/>
      <c r="F101" s="33">
        <v>850000</v>
      </c>
      <c r="G101" s="21">
        <f t="shared" ref="G101:G106" si="4">G100-F101</f>
        <v>87672200</v>
      </c>
    </row>
    <row r="102" spans="1:7" ht="63" customHeight="1" x14ac:dyDescent="0.25">
      <c r="A102" s="36">
        <v>68</v>
      </c>
      <c r="B102" s="39" t="s">
        <v>148</v>
      </c>
      <c r="C102" s="66" t="s">
        <v>161</v>
      </c>
      <c r="D102" s="65" t="s">
        <v>160</v>
      </c>
      <c r="E102" s="60"/>
      <c r="F102" s="33">
        <v>850000</v>
      </c>
      <c r="G102" s="21">
        <f t="shared" si="4"/>
        <v>86822200</v>
      </c>
    </row>
    <row r="103" spans="1:7" ht="56.25" customHeight="1" x14ac:dyDescent="0.25">
      <c r="A103" s="36">
        <v>69</v>
      </c>
      <c r="B103" s="39" t="s">
        <v>148</v>
      </c>
      <c r="C103" s="66" t="s">
        <v>162</v>
      </c>
      <c r="D103" s="65" t="s">
        <v>160</v>
      </c>
      <c r="E103" s="60"/>
      <c r="F103" s="33">
        <v>680000</v>
      </c>
      <c r="G103" s="21">
        <f t="shared" si="4"/>
        <v>86142200</v>
      </c>
    </row>
    <row r="104" spans="1:7" ht="55.5" customHeight="1" x14ac:dyDescent="0.25">
      <c r="A104" s="36">
        <v>70</v>
      </c>
      <c r="B104" s="39" t="s">
        <v>148</v>
      </c>
      <c r="C104" s="66" t="s">
        <v>163</v>
      </c>
      <c r="D104" s="65" t="s">
        <v>160</v>
      </c>
      <c r="E104" s="60"/>
      <c r="F104" s="33">
        <v>850000</v>
      </c>
      <c r="G104" s="21">
        <f t="shared" si="4"/>
        <v>85292200</v>
      </c>
    </row>
    <row r="105" spans="1:7" ht="58.5" customHeight="1" x14ac:dyDescent="0.25">
      <c r="A105" s="36">
        <v>71</v>
      </c>
      <c r="B105" s="39" t="s">
        <v>148</v>
      </c>
      <c r="C105" s="66" t="s">
        <v>164</v>
      </c>
      <c r="D105" s="65" t="s">
        <v>160</v>
      </c>
      <c r="E105" s="60"/>
      <c r="F105" s="33">
        <v>850000</v>
      </c>
      <c r="G105" s="21">
        <f t="shared" si="4"/>
        <v>84442200</v>
      </c>
    </row>
    <row r="106" spans="1:7" ht="65.25" customHeight="1" x14ac:dyDescent="0.25">
      <c r="A106" s="36">
        <v>72</v>
      </c>
      <c r="B106" s="39" t="s">
        <v>148</v>
      </c>
      <c r="C106" s="66" t="s">
        <v>165</v>
      </c>
      <c r="D106" s="65" t="s">
        <v>160</v>
      </c>
      <c r="E106" s="60"/>
      <c r="F106" s="33">
        <v>1020000</v>
      </c>
      <c r="G106" s="21">
        <f t="shared" si="4"/>
        <v>83422200</v>
      </c>
    </row>
    <row r="107" spans="1:7" x14ac:dyDescent="0.25">
      <c r="A107" s="24"/>
      <c r="B107" s="39"/>
      <c r="C107" s="57"/>
      <c r="D107" s="27"/>
      <c r="E107" s="28"/>
      <c r="F107" s="29"/>
      <c r="G107" s="22"/>
    </row>
  </sheetData>
  <printOptions horizontalCentered="1"/>
  <pageMargins left="0.23622047244094491" right="0.23622047244094491" top="0.74803149606299213" bottom="0.74803149606299213" header="0.31496062992125984" footer="0.31496062992125984"/>
  <pageSetup paperSize="5" scale="62" fitToHeight="0" orientation="portrait" r:id="rId1"/>
  <rowBreaks count="1" manualBreakCount="1">
    <brk id="54"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Q150"/>
  <sheetViews>
    <sheetView zoomScaleNormal="100" workbookViewId="0">
      <selection activeCell="C11" sqref="C11"/>
    </sheetView>
  </sheetViews>
  <sheetFormatPr defaultRowHeight="15" x14ac:dyDescent="0.25"/>
  <cols>
    <col min="1" max="1" width="4.28515625" customWidth="1"/>
    <col min="3" max="3" width="57.7109375" customWidth="1"/>
    <col min="4" max="4" width="29.5703125" customWidth="1"/>
    <col min="5" max="5" width="16.140625" customWidth="1"/>
    <col min="6" max="6" width="13.85546875" customWidth="1"/>
    <col min="7" max="7" width="13.7109375" customWidth="1"/>
    <col min="11" max="11" width="12.7109375" customWidth="1"/>
  </cols>
  <sheetData>
    <row r="1" spans="1:17" x14ac:dyDescent="0.25">
      <c r="A1" s="72" t="s">
        <v>0</v>
      </c>
      <c r="B1" s="73" t="s">
        <v>1</v>
      </c>
      <c r="C1" s="74" t="s">
        <v>2</v>
      </c>
      <c r="D1" s="75" t="s">
        <v>3</v>
      </c>
      <c r="E1" s="75" t="s">
        <v>4</v>
      </c>
      <c r="F1" s="75" t="s">
        <v>5</v>
      </c>
      <c r="G1" s="75" t="s">
        <v>6</v>
      </c>
    </row>
    <row r="2" spans="1:17" x14ac:dyDescent="0.25">
      <c r="A2" s="76">
        <v>1</v>
      </c>
      <c r="B2" s="77">
        <v>2</v>
      </c>
      <c r="C2" s="77">
        <v>3</v>
      </c>
      <c r="D2" s="77">
        <v>4</v>
      </c>
      <c r="E2" s="77">
        <v>5</v>
      </c>
      <c r="F2" s="77">
        <v>6</v>
      </c>
      <c r="G2" s="77">
        <v>7</v>
      </c>
    </row>
    <row r="3" spans="1:17" x14ac:dyDescent="0.25">
      <c r="A3" s="78"/>
      <c r="B3" s="79"/>
      <c r="C3" s="49" t="s">
        <v>7</v>
      </c>
      <c r="D3" s="55"/>
      <c r="E3" s="80">
        <v>83422200</v>
      </c>
      <c r="F3" s="80"/>
      <c r="G3" s="101">
        <f>E3</f>
        <v>83422200</v>
      </c>
    </row>
    <row r="4" spans="1:17" s="99" customFormat="1" ht="13.5" customHeight="1" x14ac:dyDescent="0.25">
      <c r="A4" s="94">
        <v>1</v>
      </c>
      <c r="B4" s="95" t="s">
        <v>166</v>
      </c>
      <c r="C4" s="107" t="s">
        <v>168</v>
      </c>
      <c r="D4" s="96"/>
      <c r="E4" s="96"/>
      <c r="F4" s="96"/>
      <c r="G4" s="102"/>
      <c r="H4" s="100"/>
      <c r="I4" s="100"/>
      <c r="J4" s="100"/>
      <c r="K4" s="100"/>
      <c r="L4" s="100"/>
      <c r="M4" s="100"/>
      <c r="N4" s="100"/>
      <c r="O4" s="100"/>
      <c r="P4" s="100"/>
      <c r="Q4" s="100"/>
    </row>
    <row r="5" spans="1:17" s="99" customFormat="1" ht="12" customHeight="1" x14ac:dyDescent="0.25">
      <c r="A5" s="97"/>
      <c r="B5" s="97"/>
      <c r="C5" s="90" t="s">
        <v>169</v>
      </c>
      <c r="D5" s="98"/>
      <c r="E5" s="96"/>
      <c r="F5" s="98"/>
      <c r="G5" s="103"/>
      <c r="H5" s="100"/>
      <c r="I5" s="100"/>
      <c r="J5" s="100"/>
      <c r="K5" s="100"/>
      <c r="L5" s="100"/>
      <c r="M5" s="100"/>
      <c r="N5" s="100"/>
      <c r="O5" s="100"/>
      <c r="P5" s="100"/>
      <c r="Q5" s="100"/>
    </row>
    <row r="6" spans="1:17" x14ac:dyDescent="0.25">
      <c r="A6" s="97"/>
      <c r="B6" s="97"/>
      <c r="C6" s="90" t="s">
        <v>8</v>
      </c>
      <c r="D6" s="98" t="s">
        <v>39</v>
      </c>
      <c r="E6" s="98">
        <v>87749600</v>
      </c>
      <c r="F6" s="98"/>
      <c r="G6" s="98">
        <f>G3+E6</f>
        <v>171171800</v>
      </c>
    </row>
    <row r="7" spans="1:17" x14ac:dyDescent="0.25">
      <c r="A7" s="97"/>
      <c r="B7" s="97"/>
      <c r="C7" s="90" t="s">
        <v>9</v>
      </c>
      <c r="D7" s="98" t="s">
        <v>40</v>
      </c>
      <c r="E7" s="98">
        <v>4448634</v>
      </c>
      <c r="F7" s="98"/>
      <c r="G7" s="98">
        <f t="shared" ref="G7:G20" si="0">G6+E7</f>
        <v>175620434</v>
      </c>
    </row>
    <row r="8" spans="1:17" ht="13.5" customHeight="1" x14ac:dyDescent="1.1000000000000001">
      <c r="A8" s="97"/>
      <c r="B8" s="97"/>
      <c r="C8" s="90" t="s">
        <v>10</v>
      </c>
      <c r="D8" s="98"/>
      <c r="E8" s="98">
        <v>0</v>
      </c>
      <c r="F8" s="98"/>
      <c r="G8" s="98">
        <f t="shared" si="0"/>
        <v>175620434</v>
      </c>
      <c r="H8" s="71"/>
      <c r="I8" s="71"/>
      <c r="J8" s="71"/>
      <c r="K8" s="71"/>
      <c r="L8" s="71"/>
      <c r="M8" s="71"/>
      <c r="N8" s="71"/>
      <c r="O8" s="71"/>
      <c r="P8" s="71"/>
      <c r="Q8" s="71"/>
    </row>
    <row r="9" spans="1:17" ht="15.75" customHeight="1" x14ac:dyDescent="1.1000000000000001">
      <c r="A9" s="97"/>
      <c r="B9" s="97"/>
      <c r="C9" s="90" t="s">
        <v>11</v>
      </c>
      <c r="D9" s="98" t="s">
        <v>41</v>
      </c>
      <c r="E9" s="98">
        <v>8725000</v>
      </c>
      <c r="F9" s="98"/>
      <c r="G9" s="98">
        <f t="shared" si="0"/>
        <v>184345434</v>
      </c>
      <c r="H9" s="71"/>
      <c r="I9" s="71"/>
      <c r="J9" s="71"/>
      <c r="K9" s="71"/>
      <c r="L9" s="71"/>
      <c r="M9" s="71"/>
      <c r="N9" s="71"/>
      <c r="O9" s="71"/>
      <c r="P9" s="71"/>
      <c r="Q9" s="71"/>
    </row>
    <row r="10" spans="1:17" x14ac:dyDescent="0.25">
      <c r="A10" s="89"/>
      <c r="B10" s="89"/>
      <c r="C10" s="90" t="s">
        <v>12</v>
      </c>
      <c r="D10" s="82" t="s">
        <v>42</v>
      </c>
      <c r="E10" s="82">
        <v>3240000</v>
      </c>
      <c r="F10" s="82"/>
      <c r="G10" s="82">
        <f t="shared" si="0"/>
        <v>187585434</v>
      </c>
    </row>
    <row r="11" spans="1:17" x14ac:dyDescent="0.25">
      <c r="A11" s="89"/>
      <c r="B11" s="89"/>
      <c r="C11" s="90" t="s">
        <v>13</v>
      </c>
      <c r="D11" s="82" t="s">
        <v>43</v>
      </c>
      <c r="E11" s="82">
        <v>1465000</v>
      </c>
      <c r="F11" s="82"/>
      <c r="G11" s="82">
        <f t="shared" si="0"/>
        <v>189050434</v>
      </c>
    </row>
    <row r="12" spans="1:17" x14ac:dyDescent="0.25">
      <c r="A12" s="89"/>
      <c r="B12" s="89"/>
      <c r="C12" s="90" t="s">
        <v>14</v>
      </c>
      <c r="D12" s="82" t="s">
        <v>44</v>
      </c>
      <c r="E12" s="82">
        <v>4225130</v>
      </c>
      <c r="F12" s="82"/>
      <c r="G12" s="82">
        <f t="shared" si="0"/>
        <v>193275564</v>
      </c>
    </row>
    <row r="13" spans="1:17" x14ac:dyDescent="0.25">
      <c r="A13" s="89"/>
      <c r="B13" s="89"/>
      <c r="C13" s="90" t="s">
        <v>15</v>
      </c>
      <c r="D13" s="82" t="s">
        <v>45</v>
      </c>
      <c r="E13" s="82">
        <v>3331320</v>
      </c>
      <c r="F13" s="82"/>
      <c r="G13" s="82">
        <f t="shared" si="0"/>
        <v>196606884</v>
      </c>
    </row>
    <row r="14" spans="1:17" x14ac:dyDescent="0.25">
      <c r="A14" s="89"/>
      <c r="B14" s="89"/>
      <c r="C14" s="90" t="s">
        <v>16</v>
      </c>
      <c r="D14" s="82"/>
      <c r="E14" s="82"/>
      <c r="F14" s="82"/>
      <c r="G14" s="82">
        <f t="shared" si="0"/>
        <v>196606884</v>
      </c>
    </row>
    <row r="15" spans="1:17" x14ac:dyDescent="0.25">
      <c r="A15" s="89"/>
      <c r="B15" s="89"/>
      <c r="C15" s="90" t="s">
        <v>17</v>
      </c>
      <c r="D15" s="82"/>
      <c r="E15" s="82"/>
      <c r="F15" s="82"/>
      <c r="G15" s="82">
        <f t="shared" si="0"/>
        <v>196606884</v>
      </c>
    </row>
    <row r="16" spans="1:17" x14ac:dyDescent="0.25">
      <c r="A16" s="89"/>
      <c r="B16" s="89"/>
      <c r="C16" s="90" t="s">
        <v>18</v>
      </c>
      <c r="D16" s="82" t="s">
        <v>46</v>
      </c>
      <c r="E16" s="82">
        <v>182921</v>
      </c>
      <c r="F16" s="82"/>
      <c r="G16" s="82">
        <f t="shared" si="0"/>
        <v>196789805</v>
      </c>
    </row>
    <row r="17" spans="1:7" x14ac:dyDescent="0.25">
      <c r="A17" s="89"/>
      <c r="B17" s="89"/>
      <c r="C17" s="90" t="s">
        <v>19</v>
      </c>
      <c r="D17" s="82"/>
      <c r="E17" s="82"/>
      <c r="F17" s="82"/>
      <c r="G17" s="82">
        <f t="shared" si="0"/>
        <v>196789805</v>
      </c>
    </row>
    <row r="18" spans="1:7" x14ac:dyDescent="0.25">
      <c r="A18" s="89"/>
      <c r="B18" s="89"/>
      <c r="C18" s="90" t="s">
        <v>20</v>
      </c>
      <c r="D18" s="82" t="s">
        <v>48</v>
      </c>
      <c r="E18" s="82">
        <v>210594</v>
      </c>
      <c r="F18" s="82"/>
      <c r="G18" s="82">
        <f t="shared" si="0"/>
        <v>197000399</v>
      </c>
    </row>
    <row r="19" spans="1:7" x14ac:dyDescent="0.25">
      <c r="A19" s="89"/>
      <c r="B19" s="89"/>
      <c r="C19" s="90" t="s">
        <v>21</v>
      </c>
      <c r="D19" s="82" t="s">
        <v>47</v>
      </c>
      <c r="E19" s="82">
        <v>631795</v>
      </c>
      <c r="F19" s="82"/>
      <c r="G19" s="82">
        <f t="shared" si="0"/>
        <v>197632194</v>
      </c>
    </row>
    <row r="20" spans="1:7" x14ac:dyDescent="0.25">
      <c r="A20" s="89"/>
      <c r="B20" s="89"/>
      <c r="C20" s="90" t="s">
        <v>22</v>
      </c>
      <c r="D20" s="82" t="s">
        <v>49</v>
      </c>
      <c r="E20" s="82">
        <v>1187</v>
      </c>
      <c r="F20" s="82"/>
      <c r="G20" s="82">
        <f t="shared" si="0"/>
        <v>197633381</v>
      </c>
    </row>
    <row r="21" spans="1:7" x14ac:dyDescent="0.25">
      <c r="A21" s="89"/>
      <c r="B21" s="89"/>
      <c r="C21" s="90" t="s">
        <v>23</v>
      </c>
      <c r="D21" s="82" t="s">
        <v>24</v>
      </c>
      <c r="E21" s="82"/>
      <c r="F21" s="82"/>
      <c r="G21" s="82"/>
    </row>
    <row r="22" spans="1:7" x14ac:dyDescent="0.25">
      <c r="A22" s="89"/>
      <c r="B22" s="89"/>
      <c r="C22" s="90" t="s">
        <v>37</v>
      </c>
      <c r="D22" s="82"/>
      <c r="E22" s="82"/>
      <c r="F22" s="82">
        <v>7375858</v>
      </c>
      <c r="G22" s="82">
        <f>G20-F22</f>
        <v>190257523</v>
      </c>
    </row>
    <row r="23" spans="1:7" x14ac:dyDescent="0.25">
      <c r="A23" s="89"/>
      <c r="B23" s="89"/>
      <c r="C23" s="90" t="s">
        <v>25</v>
      </c>
      <c r="D23" s="82"/>
      <c r="E23" s="82"/>
      <c r="F23" s="82">
        <f>E16</f>
        <v>182921</v>
      </c>
      <c r="G23" s="82">
        <f t="shared" ref="G23:G36" si="1">G22-F23</f>
        <v>190074602</v>
      </c>
    </row>
    <row r="24" spans="1:7" x14ac:dyDescent="0.25">
      <c r="A24" s="89"/>
      <c r="B24" s="89"/>
      <c r="C24" s="90" t="s">
        <v>26</v>
      </c>
      <c r="D24" s="82"/>
      <c r="E24" s="82"/>
      <c r="F24" s="82">
        <v>0</v>
      </c>
      <c r="G24" s="82">
        <f t="shared" si="1"/>
        <v>190074602</v>
      </c>
    </row>
    <row r="25" spans="1:7" x14ac:dyDescent="0.25">
      <c r="A25" s="89"/>
      <c r="B25" s="89"/>
      <c r="C25" s="90" t="s">
        <v>27</v>
      </c>
      <c r="D25" s="82"/>
      <c r="E25" s="82"/>
      <c r="F25" s="82">
        <v>0</v>
      </c>
      <c r="G25" s="82">
        <f t="shared" si="1"/>
        <v>190074602</v>
      </c>
    </row>
    <row r="26" spans="1:7" x14ac:dyDescent="0.25">
      <c r="A26" s="89"/>
      <c r="B26" s="89"/>
      <c r="C26" s="90" t="s">
        <v>28</v>
      </c>
      <c r="D26" s="82"/>
      <c r="E26" s="82"/>
      <c r="F26" s="82">
        <v>0</v>
      </c>
      <c r="G26" s="82">
        <f t="shared" si="1"/>
        <v>190074602</v>
      </c>
    </row>
    <row r="27" spans="1:7" x14ac:dyDescent="0.25">
      <c r="A27" s="89"/>
      <c r="B27" s="89"/>
      <c r="C27" s="90" t="s">
        <v>14</v>
      </c>
      <c r="D27" s="82"/>
      <c r="E27" s="82"/>
      <c r="F27" s="82">
        <f>E12</f>
        <v>4225130</v>
      </c>
      <c r="G27" s="82">
        <f t="shared" si="1"/>
        <v>185849472</v>
      </c>
    </row>
    <row r="28" spans="1:7" x14ac:dyDescent="0.25">
      <c r="A28" s="89"/>
      <c r="B28" s="89"/>
      <c r="C28" s="90" t="s">
        <v>50</v>
      </c>
      <c r="D28" s="82"/>
      <c r="E28" s="82"/>
      <c r="F28" s="82">
        <v>0</v>
      </c>
      <c r="G28" s="82">
        <f t="shared" si="1"/>
        <v>185849472</v>
      </c>
    </row>
    <row r="29" spans="1:7" x14ac:dyDescent="0.25">
      <c r="A29" s="89"/>
      <c r="B29" s="89"/>
      <c r="C29" s="90" t="s">
        <v>29</v>
      </c>
      <c r="D29" s="82"/>
      <c r="E29" s="82"/>
      <c r="F29" s="82">
        <v>0</v>
      </c>
      <c r="G29" s="82">
        <f t="shared" si="1"/>
        <v>185849472</v>
      </c>
    </row>
    <row r="30" spans="1:7" x14ac:dyDescent="0.25">
      <c r="A30" s="89"/>
      <c r="B30" s="89"/>
      <c r="C30" s="90" t="s">
        <v>30</v>
      </c>
      <c r="D30" s="82"/>
      <c r="E30" s="82"/>
      <c r="F30" s="82">
        <f>E18</f>
        <v>210594</v>
      </c>
      <c r="G30" s="82">
        <f t="shared" si="1"/>
        <v>185638878</v>
      </c>
    </row>
    <row r="31" spans="1:7" x14ac:dyDescent="0.25">
      <c r="A31" s="89"/>
      <c r="B31" s="89"/>
      <c r="C31" s="90" t="s">
        <v>31</v>
      </c>
      <c r="D31" s="82"/>
      <c r="E31" s="82"/>
      <c r="F31" s="82">
        <f>E19</f>
        <v>631795</v>
      </c>
      <c r="G31" s="82">
        <f t="shared" si="1"/>
        <v>185007083</v>
      </c>
    </row>
    <row r="32" spans="1:7" x14ac:dyDescent="0.25">
      <c r="A32" s="89"/>
      <c r="B32" s="89"/>
      <c r="C32" s="90" t="s">
        <v>38</v>
      </c>
      <c r="D32" s="82"/>
      <c r="E32" s="82"/>
      <c r="F32" s="82">
        <v>1056283</v>
      </c>
      <c r="G32" s="82">
        <f t="shared" si="1"/>
        <v>183950800</v>
      </c>
    </row>
    <row r="33" spans="1:7" x14ac:dyDescent="0.25">
      <c r="A33" s="89"/>
      <c r="B33" s="89"/>
      <c r="C33" s="90" t="s">
        <v>32</v>
      </c>
      <c r="D33" s="82"/>
      <c r="E33" s="82"/>
      <c r="F33" s="82">
        <v>0</v>
      </c>
      <c r="G33" s="82">
        <f t="shared" si="1"/>
        <v>183950800</v>
      </c>
    </row>
    <row r="34" spans="1:7" x14ac:dyDescent="0.25">
      <c r="A34" s="89"/>
      <c r="B34" s="89"/>
      <c r="C34" s="90" t="s">
        <v>33</v>
      </c>
      <c r="D34" s="82"/>
      <c r="E34" s="82"/>
      <c r="F34" s="82">
        <v>0</v>
      </c>
      <c r="G34" s="82">
        <f t="shared" si="1"/>
        <v>183950800</v>
      </c>
    </row>
    <row r="35" spans="1:7" x14ac:dyDescent="0.25">
      <c r="A35" s="89"/>
      <c r="B35" s="89"/>
      <c r="C35" s="90" t="s">
        <v>34</v>
      </c>
      <c r="D35" s="82"/>
      <c r="E35" s="82"/>
      <c r="F35" s="82">
        <v>0</v>
      </c>
      <c r="G35" s="82">
        <f t="shared" si="1"/>
        <v>183950800</v>
      </c>
    </row>
    <row r="36" spans="1:7" x14ac:dyDescent="0.25">
      <c r="A36" s="89">
        <v>2</v>
      </c>
      <c r="B36" s="95" t="s">
        <v>166</v>
      </c>
      <c r="C36" s="90" t="s">
        <v>34</v>
      </c>
      <c r="D36" s="82"/>
      <c r="E36" s="82"/>
      <c r="F36" s="82">
        <v>0</v>
      </c>
      <c r="G36" s="82">
        <f t="shared" si="1"/>
        <v>183950800</v>
      </c>
    </row>
    <row r="37" spans="1:7" x14ac:dyDescent="0.25">
      <c r="A37" s="89">
        <v>3</v>
      </c>
      <c r="B37" s="95" t="s">
        <v>166</v>
      </c>
      <c r="C37" s="90" t="s">
        <v>36</v>
      </c>
      <c r="D37" s="82"/>
      <c r="E37" s="82" t="s">
        <v>35</v>
      </c>
      <c r="F37" s="82" t="s">
        <v>35</v>
      </c>
      <c r="G37" s="82"/>
    </row>
    <row r="38" spans="1:7" ht="20.25" customHeight="1" x14ac:dyDescent="0.25">
      <c r="A38" s="89">
        <v>4</v>
      </c>
      <c r="B38" s="87" t="s">
        <v>166</v>
      </c>
      <c r="C38" s="105" t="s">
        <v>54</v>
      </c>
      <c r="D38" s="106"/>
      <c r="E38" s="106"/>
      <c r="F38" s="88">
        <v>100528600</v>
      </c>
      <c r="G38" s="88">
        <f>G36-F38</f>
        <v>83422200</v>
      </c>
    </row>
    <row r="39" spans="1:7" ht="60" customHeight="1" x14ac:dyDescent="0.25">
      <c r="A39" s="89">
        <v>5</v>
      </c>
      <c r="B39" s="87" t="s">
        <v>166</v>
      </c>
      <c r="C39" s="49" t="s">
        <v>224</v>
      </c>
      <c r="D39" s="35" t="s">
        <v>79</v>
      </c>
      <c r="E39" s="82"/>
      <c r="F39" s="82">
        <v>1000000</v>
      </c>
      <c r="G39" s="82">
        <f t="shared" ref="G39:G56" si="2">G38-F39</f>
        <v>82422200</v>
      </c>
    </row>
    <row r="40" spans="1:7" ht="60" customHeight="1" x14ac:dyDescent="0.25">
      <c r="A40" s="89">
        <v>6</v>
      </c>
      <c r="B40" s="87" t="s">
        <v>166</v>
      </c>
      <c r="C40" s="49" t="s">
        <v>229</v>
      </c>
      <c r="D40" s="48" t="s">
        <v>230</v>
      </c>
      <c r="E40" s="81"/>
      <c r="F40" s="82">
        <v>1890000</v>
      </c>
      <c r="G40" s="82">
        <f t="shared" si="2"/>
        <v>80532200</v>
      </c>
    </row>
    <row r="41" spans="1:7" ht="60" customHeight="1" x14ac:dyDescent="0.25">
      <c r="A41" s="89">
        <v>7</v>
      </c>
      <c r="B41" s="87" t="s">
        <v>166</v>
      </c>
      <c r="C41" s="49" t="s">
        <v>229</v>
      </c>
      <c r="D41" s="48" t="s">
        <v>230</v>
      </c>
      <c r="E41" s="81"/>
      <c r="F41" s="82">
        <v>1883000</v>
      </c>
      <c r="G41" s="82">
        <f t="shared" si="2"/>
        <v>78649200</v>
      </c>
    </row>
    <row r="42" spans="1:7" ht="60" customHeight="1" x14ac:dyDescent="0.25">
      <c r="A42" s="89">
        <v>8</v>
      </c>
      <c r="B42" s="87" t="s">
        <v>166</v>
      </c>
      <c r="C42" s="32" t="s">
        <v>231</v>
      </c>
      <c r="D42" s="51" t="s">
        <v>88</v>
      </c>
      <c r="E42" s="82"/>
      <c r="F42" s="82">
        <v>3075000</v>
      </c>
      <c r="G42" s="82">
        <f t="shared" si="2"/>
        <v>75574200</v>
      </c>
    </row>
    <row r="43" spans="1:7" ht="80.25" customHeight="1" x14ac:dyDescent="0.25">
      <c r="A43" s="89">
        <v>9</v>
      </c>
      <c r="B43" s="87" t="s">
        <v>166</v>
      </c>
      <c r="C43" s="32" t="s">
        <v>241</v>
      </c>
      <c r="D43" s="51" t="s">
        <v>140</v>
      </c>
      <c r="E43" s="82"/>
      <c r="F43" s="82">
        <v>1750000</v>
      </c>
      <c r="G43" s="82">
        <f t="shared" si="2"/>
        <v>73824200</v>
      </c>
    </row>
    <row r="44" spans="1:7" ht="75.75" customHeight="1" x14ac:dyDescent="0.25">
      <c r="A44" s="89">
        <v>10</v>
      </c>
      <c r="B44" s="87" t="s">
        <v>166</v>
      </c>
      <c r="C44" s="32" t="s">
        <v>240</v>
      </c>
      <c r="D44" s="51" t="s">
        <v>140</v>
      </c>
      <c r="E44" s="82"/>
      <c r="F44" s="82">
        <v>1200000</v>
      </c>
      <c r="G44" s="82">
        <f t="shared" si="2"/>
        <v>72624200</v>
      </c>
    </row>
    <row r="45" spans="1:7" ht="67.5" customHeight="1" x14ac:dyDescent="0.25">
      <c r="A45" s="117">
        <v>11</v>
      </c>
      <c r="B45" s="118" t="s">
        <v>166</v>
      </c>
      <c r="C45" s="52" t="s">
        <v>241</v>
      </c>
      <c r="D45" s="53" t="s">
        <v>140</v>
      </c>
      <c r="E45" s="119"/>
      <c r="F45" s="119">
        <v>1195000</v>
      </c>
      <c r="G45" s="119">
        <f t="shared" si="2"/>
        <v>71429200</v>
      </c>
    </row>
    <row r="46" spans="1:7" ht="69" customHeight="1" x14ac:dyDescent="0.25">
      <c r="A46" s="120">
        <v>12</v>
      </c>
      <c r="B46" s="121" t="s">
        <v>166</v>
      </c>
      <c r="C46" s="122" t="s">
        <v>242</v>
      </c>
      <c r="D46" s="123" t="s">
        <v>107</v>
      </c>
      <c r="E46" s="124"/>
      <c r="F46" s="124">
        <v>899000</v>
      </c>
      <c r="G46" s="124">
        <f t="shared" si="2"/>
        <v>70530200</v>
      </c>
    </row>
    <row r="47" spans="1:7" ht="69.75" customHeight="1" x14ac:dyDescent="0.25">
      <c r="A47" s="89">
        <v>13</v>
      </c>
      <c r="B47" s="87" t="s">
        <v>166</v>
      </c>
      <c r="C47" s="32" t="s">
        <v>243</v>
      </c>
      <c r="D47" s="51" t="s">
        <v>107</v>
      </c>
      <c r="E47" s="82"/>
      <c r="F47" s="82">
        <v>1750000</v>
      </c>
      <c r="G47" s="82">
        <f t="shared" si="2"/>
        <v>68780200</v>
      </c>
    </row>
    <row r="48" spans="1:7" ht="60" customHeight="1" x14ac:dyDescent="0.25">
      <c r="A48" s="89">
        <v>14</v>
      </c>
      <c r="B48" s="87" t="s">
        <v>166</v>
      </c>
      <c r="C48" s="49" t="s">
        <v>246</v>
      </c>
      <c r="D48" s="48" t="s">
        <v>247</v>
      </c>
      <c r="E48" s="81"/>
      <c r="F48" s="82">
        <v>472100</v>
      </c>
      <c r="G48" s="82">
        <f t="shared" si="2"/>
        <v>68308100</v>
      </c>
    </row>
    <row r="49" spans="1:7" ht="60" customHeight="1" x14ac:dyDescent="0.25">
      <c r="A49" s="89">
        <v>15</v>
      </c>
      <c r="B49" s="87" t="s">
        <v>166</v>
      </c>
      <c r="C49" s="49" t="s">
        <v>250</v>
      </c>
      <c r="D49" s="48" t="s">
        <v>248</v>
      </c>
      <c r="E49" s="81"/>
      <c r="F49" s="82">
        <v>614900</v>
      </c>
      <c r="G49" s="82">
        <f t="shared" si="2"/>
        <v>67693200</v>
      </c>
    </row>
    <row r="50" spans="1:7" ht="60" customHeight="1" x14ac:dyDescent="0.25">
      <c r="A50" s="89">
        <v>16</v>
      </c>
      <c r="B50" s="87" t="s">
        <v>166</v>
      </c>
      <c r="C50" s="49" t="s">
        <v>251</v>
      </c>
      <c r="D50" s="48" t="s">
        <v>249</v>
      </c>
      <c r="E50" s="81"/>
      <c r="F50" s="82">
        <v>458000</v>
      </c>
      <c r="G50" s="82">
        <f t="shared" si="2"/>
        <v>67235200</v>
      </c>
    </row>
    <row r="51" spans="1:7" ht="60" customHeight="1" x14ac:dyDescent="0.25">
      <c r="A51" s="89">
        <v>17</v>
      </c>
      <c r="B51" s="87" t="s">
        <v>166</v>
      </c>
      <c r="C51" s="49" t="s">
        <v>253</v>
      </c>
      <c r="D51" s="48" t="s">
        <v>252</v>
      </c>
      <c r="E51" s="81"/>
      <c r="F51" s="82">
        <v>852200</v>
      </c>
      <c r="G51" s="82">
        <f t="shared" si="2"/>
        <v>66383000</v>
      </c>
    </row>
    <row r="52" spans="1:7" ht="60" customHeight="1" x14ac:dyDescent="0.25">
      <c r="A52" s="89">
        <v>18</v>
      </c>
      <c r="B52" s="87" t="s">
        <v>166</v>
      </c>
      <c r="C52" s="49" t="s">
        <v>255</v>
      </c>
      <c r="D52" s="48" t="s">
        <v>254</v>
      </c>
      <c r="E52" s="81"/>
      <c r="F52" s="82">
        <v>987200</v>
      </c>
      <c r="G52" s="82">
        <f t="shared" si="2"/>
        <v>65395800</v>
      </c>
    </row>
    <row r="53" spans="1:7" ht="60" customHeight="1" x14ac:dyDescent="0.25">
      <c r="A53" s="89">
        <v>19</v>
      </c>
      <c r="B53" s="87" t="s">
        <v>166</v>
      </c>
      <c r="C53" s="49" t="s">
        <v>256</v>
      </c>
      <c r="D53" s="48" t="s">
        <v>257</v>
      </c>
      <c r="E53" s="81"/>
      <c r="F53" s="82">
        <v>160300</v>
      </c>
      <c r="G53" s="82">
        <f t="shared" si="2"/>
        <v>65235500</v>
      </c>
    </row>
    <row r="54" spans="1:7" ht="60" customHeight="1" x14ac:dyDescent="0.25">
      <c r="A54" s="89">
        <v>20</v>
      </c>
      <c r="B54" s="87" t="s">
        <v>166</v>
      </c>
      <c r="C54" s="49" t="s">
        <v>258</v>
      </c>
      <c r="D54" s="48" t="s">
        <v>259</v>
      </c>
      <c r="E54" s="81"/>
      <c r="F54" s="82">
        <v>343500</v>
      </c>
      <c r="G54" s="82">
        <f t="shared" si="2"/>
        <v>64892000</v>
      </c>
    </row>
    <row r="55" spans="1:7" ht="60" customHeight="1" x14ac:dyDescent="0.25">
      <c r="A55" s="89">
        <v>21</v>
      </c>
      <c r="B55" s="87" t="s">
        <v>167</v>
      </c>
      <c r="C55" s="49" t="s">
        <v>260</v>
      </c>
      <c r="D55" s="48" t="s">
        <v>261</v>
      </c>
      <c r="E55" s="81"/>
      <c r="F55" s="82">
        <v>285900</v>
      </c>
      <c r="G55" s="82">
        <f t="shared" si="2"/>
        <v>64606100</v>
      </c>
    </row>
    <row r="56" spans="1:7" ht="60" customHeight="1" x14ac:dyDescent="0.25">
      <c r="A56" s="89">
        <v>22</v>
      </c>
      <c r="B56" s="87" t="s">
        <v>167</v>
      </c>
      <c r="C56" s="49" t="s">
        <v>262</v>
      </c>
      <c r="D56" s="48" t="s">
        <v>263</v>
      </c>
      <c r="E56" s="81"/>
      <c r="F56" s="82">
        <v>412000</v>
      </c>
      <c r="G56" s="82">
        <f t="shared" si="2"/>
        <v>64194100</v>
      </c>
    </row>
    <row r="57" spans="1:7" ht="60" customHeight="1" x14ac:dyDescent="0.25">
      <c r="A57" s="89">
        <v>23</v>
      </c>
      <c r="B57" s="87" t="s">
        <v>167</v>
      </c>
      <c r="C57" s="49" t="s">
        <v>264</v>
      </c>
      <c r="D57" s="48" t="s">
        <v>265</v>
      </c>
      <c r="E57" s="81"/>
      <c r="F57" s="82">
        <v>572500</v>
      </c>
      <c r="G57" s="82">
        <f t="shared" ref="G57:G83" si="3">G56-F57</f>
        <v>63621600</v>
      </c>
    </row>
    <row r="58" spans="1:7" ht="60" customHeight="1" x14ac:dyDescent="0.25">
      <c r="A58" s="89">
        <v>24</v>
      </c>
      <c r="B58" s="87" t="s">
        <v>167</v>
      </c>
      <c r="C58" s="49" t="s">
        <v>270</v>
      </c>
      <c r="D58" s="48" t="s">
        <v>271</v>
      </c>
      <c r="E58" s="81"/>
      <c r="F58" s="82">
        <v>485100</v>
      </c>
      <c r="G58" s="82">
        <f>G57-F58</f>
        <v>63136500</v>
      </c>
    </row>
    <row r="59" spans="1:7" ht="60" customHeight="1" x14ac:dyDescent="0.25">
      <c r="A59" s="89">
        <v>25</v>
      </c>
      <c r="B59" s="87" t="s">
        <v>167</v>
      </c>
      <c r="C59" s="49" t="s">
        <v>272</v>
      </c>
      <c r="D59" s="48" t="s">
        <v>273</v>
      </c>
      <c r="E59" s="81"/>
      <c r="F59" s="82">
        <v>824000</v>
      </c>
      <c r="G59" s="82">
        <f t="shared" si="3"/>
        <v>62312500</v>
      </c>
    </row>
    <row r="60" spans="1:7" ht="60" customHeight="1" x14ac:dyDescent="0.25">
      <c r="A60" s="89">
        <v>26</v>
      </c>
      <c r="B60" s="87" t="s">
        <v>167</v>
      </c>
      <c r="C60" s="49" t="s">
        <v>274</v>
      </c>
      <c r="D60" s="48" t="s">
        <v>269</v>
      </c>
      <c r="E60" s="81"/>
      <c r="F60" s="82">
        <v>687000</v>
      </c>
      <c r="G60" s="82">
        <f t="shared" si="3"/>
        <v>61625500</v>
      </c>
    </row>
    <row r="61" spans="1:7" ht="60" customHeight="1" x14ac:dyDescent="0.25">
      <c r="A61" s="89">
        <v>27</v>
      </c>
      <c r="B61" s="87" t="s">
        <v>167</v>
      </c>
      <c r="C61" s="49" t="s">
        <v>275</v>
      </c>
      <c r="D61" s="48" t="s">
        <v>276</v>
      </c>
      <c r="E61" s="81"/>
      <c r="F61" s="82">
        <v>345500</v>
      </c>
      <c r="G61" s="82">
        <f t="shared" si="3"/>
        <v>61280000</v>
      </c>
    </row>
    <row r="62" spans="1:7" ht="60" customHeight="1" x14ac:dyDescent="0.25">
      <c r="A62" s="89">
        <v>28</v>
      </c>
      <c r="B62" s="87" t="s">
        <v>167</v>
      </c>
      <c r="C62" s="49" t="s">
        <v>278</v>
      </c>
      <c r="D62" s="48" t="s">
        <v>277</v>
      </c>
      <c r="E62" s="81"/>
      <c r="F62" s="82">
        <v>494400</v>
      </c>
      <c r="G62" s="82">
        <f t="shared" si="3"/>
        <v>60785600</v>
      </c>
    </row>
    <row r="63" spans="1:7" ht="60" customHeight="1" x14ac:dyDescent="0.25">
      <c r="A63" s="89">
        <v>29</v>
      </c>
      <c r="B63" s="87" t="s">
        <v>167</v>
      </c>
      <c r="C63" s="49" t="s">
        <v>279</v>
      </c>
      <c r="D63" s="48" t="s">
        <v>280</v>
      </c>
      <c r="E63" s="81"/>
      <c r="F63" s="82">
        <v>1374000</v>
      </c>
      <c r="G63" s="82">
        <f t="shared" si="3"/>
        <v>59411600</v>
      </c>
    </row>
    <row r="64" spans="1:7" ht="60" customHeight="1" x14ac:dyDescent="0.25">
      <c r="A64" s="117">
        <v>30</v>
      </c>
      <c r="B64" s="118" t="s">
        <v>167</v>
      </c>
      <c r="C64" s="56" t="s">
        <v>284</v>
      </c>
      <c r="D64" s="125" t="s">
        <v>291</v>
      </c>
      <c r="E64" s="126"/>
      <c r="F64" s="119">
        <v>280800</v>
      </c>
      <c r="G64" s="119">
        <f t="shared" si="3"/>
        <v>59130800</v>
      </c>
    </row>
    <row r="65" spans="1:7" ht="60" customHeight="1" x14ac:dyDescent="0.25">
      <c r="A65" s="120">
        <v>31</v>
      </c>
      <c r="B65" s="121" t="s">
        <v>167</v>
      </c>
      <c r="C65" s="127" t="s">
        <v>285</v>
      </c>
      <c r="D65" s="128" t="s">
        <v>293</v>
      </c>
      <c r="E65" s="129"/>
      <c r="F65" s="124">
        <v>282000</v>
      </c>
      <c r="G65" s="124">
        <f t="shared" si="3"/>
        <v>58848800</v>
      </c>
    </row>
    <row r="66" spans="1:7" ht="60" customHeight="1" x14ac:dyDescent="0.25">
      <c r="A66" s="89">
        <v>32</v>
      </c>
      <c r="B66" s="87" t="s">
        <v>167</v>
      </c>
      <c r="C66" s="49" t="s">
        <v>286</v>
      </c>
      <c r="D66" s="48" t="s">
        <v>292</v>
      </c>
      <c r="E66" s="81"/>
      <c r="F66" s="82">
        <v>158000</v>
      </c>
      <c r="G66" s="82">
        <f t="shared" si="3"/>
        <v>58690800</v>
      </c>
    </row>
    <row r="67" spans="1:7" ht="60" customHeight="1" x14ac:dyDescent="0.25">
      <c r="A67" s="89">
        <v>33</v>
      </c>
      <c r="B67" s="87" t="s">
        <v>167</v>
      </c>
      <c r="C67" s="49" t="s">
        <v>287</v>
      </c>
      <c r="D67" s="48" t="s">
        <v>294</v>
      </c>
      <c r="E67" s="81"/>
      <c r="F67" s="82">
        <v>280800</v>
      </c>
      <c r="G67" s="82">
        <f t="shared" si="3"/>
        <v>58410000</v>
      </c>
    </row>
    <row r="68" spans="1:7" ht="60" customHeight="1" x14ac:dyDescent="0.25">
      <c r="A68" s="89">
        <v>34</v>
      </c>
      <c r="B68" s="87" t="s">
        <v>167</v>
      </c>
      <c r="C68" s="49" t="s">
        <v>288</v>
      </c>
      <c r="D68" s="48" t="s">
        <v>295</v>
      </c>
      <c r="E68" s="81"/>
      <c r="F68" s="82">
        <v>247200</v>
      </c>
      <c r="G68" s="82">
        <f t="shared" si="3"/>
        <v>58162800</v>
      </c>
    </row>
    <row r="69" spans="1:7" ht="60" customHeight="1" x14ac:dyDescent="0.25">
      <c r="A69" s="89">
        <v>35</v>
      </c>
      <c r="B69" s="87" t="s">
        <v>167</v>
      </c>
      <c r="C69" s="49" t="s">
        <v>289</v>
      </c>
      <c r="D69" s="48" t="s">
        <v>296</v>
      </c>
      <c r="E69" s="81"/>
      <c r="F69" s="82">
        <v>282000</v>
      </c>
      <c r="G69" s="82">
        <f t="shared" si="3"/>
        <v>57880800</v>
      </c>
    </row>
    <row r="70" spans="1:7" ht="60" customHeight="1" x14ac:dyDescent="0.25">
      <c r="A70" s="89">
        <v>36</v>
      </c>
      <c r="B70" s="87" t="s">
        <v>167</v>
      </c>
      <c r="C70" s="49" t="s">
        <v>290</v>
      </c>
      <c r="D70" s="48" t="s">
        <v>297</v>
      </c>
      <c r="E70" s="81"/>
      <c r="F70" s="82">
        <v>158000</v>
      </c>
      <c r="G70" s="82">
        <f t="shared" si="3"/>
        <v>57722800</v>
      </c>
    </row>
    <row r="71" spans="1:7" ht="60" customHeight="1" x14ac:dyDescent="0.25">
      <c r="A71" s="89">
        <v>37</v>
      </c>
      <c r="B71" s="87" t="s">
        <v>167</v>
      </c>
      <c r="C71" s="49" t="s">
        <v>298</v>
      </c>
      <c r="D71" s="48" t="s">
        <v>299</v>
      </c>
      <c r="E71" s="81"/>
      <c r="F71" s="82">
        <v>329600</v>
      </c>
      <c r="G71" s="82">
        <f t="shared" si="3"/>
        <v>57393200</v>
      </c>
    </row>
    <row r="72" spans="1:7" ht="60" customHeight="1" x14ac:dyDescent="0.25">
      <c r="A72" s="89">
        <v>38</v>
      </c>
      <c r="B72" s="87" t="s">
        <v>167</v>
      </c>
      <c r="C72" s="49" t="s">
        <v>301</v>
      </c>
      <c r="D72" s="48" t="s">
        <v>300</v>
      </c>
      <c r="E72" s="81"/>
      <c r="F72" s="82">
        <v>197500</v>
      </c>
      <c r="G72" s="82">
        <f t="shared" si="3"/>
        <v>57195700</v>
      </c>
    </row>
    <row r="73" spans="1:7" ht="60" customHeight="1" x14ac:dyDescent="0.25">
      <c r="A73" s="89">
        <v>39</v>
      </c>
      <c r="B73" s="87" t="s">
        <v>167</v>
      </c>
      <c r="C73" s="49" t="s">
        <v>303</v>
      </c>
      <c r="D73" s="48" t="s">
        <v>302</v>
      </c>
      <c r="E73" s="81"/>
      <c r="F73" s="82">
        <v>552400</v>
      </c>
      <c r="G73" s="82">
        <f t="shared" si="3"/>
        <v>56643300</v>
      </c>
    </row>
    <row r="74" spans="1:7" ht="60" customHeight="1" x14ac:dyDescent="0.25">
      <c r="A74" s="89">
        <v>40</v>
      </c>
      <c r="B74" s="87" t="s">
        <v>167</v>
      </c>
      <c r="C74" s="49" t="s">
        <v>304</v>
      </c>
      <c r="D74" s="48" t="s">
        <v>305</v>
      </c>
      <c r="E74" s="81"/>
      <c r="F74" s="82">
        <v>250000</v>
      </c>
      <c r="G74" s="82">
        <f t="shared" si="3"/>
        <v>56393300</v>
      </c>
    </row>
    <row r="75" spans="1:7" ht="60" customHeight="1" x14ac:dyDescent="0.25">
      <c r="A75" s="89">
        <v>41</v>
      </c>
      <c r="B75" s="87" t="s">
        <v>167</v>
      </c>
      <c r="C75" s="49" t="s">
        <v>307</v>
      </c>
      <c r="D75" s="48" t="s">
        <v>306</v>
      </c>
      <c r="E75" s="81"/>
      <c r="F75" s="82">
        <v>507200</v>
      </c>
      <c r="G75" s="82">
        <f t="shared" si="3"/>
        <v>55886100</v>
      </c>
    </row>
    <row r="76" spans="1:7" ht="60" customHeight="1" x14ac:dyDescent="0.25">
      <c r="A76" s="89">
        <v>42</v>
      </c>
      <c r="B76" s="87" t="s">
        <v>167</v>
      </c>
      <c r="C76" s="49" t="s">
        <v>308</v>
      </c>
      <c r="D76" s="48" t="s">
        <v>309</v>
      </c>
      <c r="E76" s="81"/>
      <c r="F76" s="82">
        <v>1375000</v>
      </c>
      <c r="G76" s="82">
        <f t="shared" si="3"/>
        <v>54511100</v>
      </c>
    </row>
    <row r="77" spans="1:7" ht="60" customHeight="1" x14ac:dyDescent="0.25">
      <c r="A77" s="89">
        <v>43</v>
      </c>
      <c r="B77" s="87" t="s">
        <v>167</v>
      </c>
      <c r="C77" s="49" t="s">
        <v>310</v>
      </c>
      <c r="D77" s="48" t="s">
        <v>311</v>
      </c>
      <c r="E77" s="81"/>
      <c r="F77" s="82">
        <v>143700</v>
      </c>
      <c r="G77" s="82">
        <f t="shared" si="3"/>
        <v>54367400</v>
      </c>
    </row>
    <row r="78" spans="1:7" ht="60" customHeight="1" x14ac:dyDescent="0.25">
      <c r="A78" s="89">
        <v>44</v>
      </c>
      <c r="B78" s="87" t="s">
        <v>167</v>
      </c>
      <c r="C78" s="49" t="s">
        <v>313</v>
      </c>
      <c r="D78" s="48" t="s">
        <v>312</v>
      </c>
      <c r="E78" s="81"/>
      <c r="F78" s="82">
        <v>588200</v>
      </c>
      <c r="G78" s="82">
        <f t="shared" si="3"/>
        <v>53779200</v>
      </c>
    </row>
    <row r="79" spans="1:7" ht="60" customHeight="1" x14ac:dyDescent="0.25">
      <c r="A79" s="89">
        <v>45</v>
      </c>
      <c r="B79" s="87" t="s">
        <v>167</v>
      </c>
      <c r="C79" s="49" t="s">
        <v>314</v>
      </c>
      <c r="D79" s="48" t="s">
        <v>315</v>
      </c>
      <c r="E79" s="81"/>
      <c r="F79" s="82">
        <v>250000</v>
      </c>
      <c r="G79" s="82">
        <f t="shared" si="3"/>
        <v>53529200</v>
      </c>
    </row>
    <row r="80" spans="1:7" ht="60" customHeight="1" x14ac:dyDescent="0.25">
      <c r="A80" s="89">
        <v>46</v>
      </c>
      <c r="B80" s="87" t="s">
        <v>167</v>
      </c>
      <c r="C80" s="49" t="s">
        <v>314</v>
      </c>
      <c r="D80" s="48" t="s">
        <v>316</v>
      </c>
      <c r="E80" s="81"/>
      <c r="F80" s="82">
        <v>665200</v>
      </c>
      <c r="G80" s="82">
        <f t="shared" si="3"/>
        <v>52864000</v>
      </c>
    </row>
    <row r="81" spans="1:7" ht="84" customHeight="1" x14ac:dyDescent="0.25">
      <c r="A81" s="89">
        <v>47</v>
      </c>
      <c r="B81" s="87" t="s">
        <v>167</v>
      </c>
      <c r="C81" s="49" t="s">
        <v>318</v>
      </c>
      <c r="D81" s="48" t="s">
        <v>317</v>
      </c>
      <c r="E81" s="81"/>
      <c r="F81" s="82">
        <v>242900</v>
      </c>
      <c r="G81" s="82">
        <f t="shared" si="3"/>
        <v>52621100</v>
      </c>
    </row>
    <row r="82" spans="1:7" ht="74.25" customHeight="1" x14ac:dyDescent="0.25">
      <c r="A82" s="117">
        <v>48</v>
      </c>
      <c r="B82" s="118" t="s">
        <v>167</v>
      </c>
      <c r="C82" s="56" t="s">
        <v>319</v>
      </c>
      <c r="D82" s="125" t="s">
        <v>320</v>
      </c>
      <c r="E82" s="126"/>
      <c r="F82" s="119">
        <v>164800</v>
      </c>
      <c r="G82" s="119">
        <f t="shared" si="3"/>
        <v>52456300</v>
      </c>
    </row>
    <row r="83" spans="1:7" ht="77.25" customHeight="1" x14ac:dyDescent="0.25">
      <c r="A83" s="120">
        <v>49</v>
      </c>
      <c r="B83" s="121" t="s">
        <v>167</v>
      </c>
      <c r="C83" s="127" t="s">
        <v>322</v>
      </c>
      <c r="D83" s="128" t="s">
        <v>321</v>
      </c>
      <c r="E83" s="129"/>
      <c r="F83" s="124">
        <v>321000</v>
      </c>
      <c r="G83" s="124">
        <f t="shared" si="3"/>
        <v>52135300</v>
      </c>
    </row>
    <row r="84" spans="1:7" ht="78" customHeight="1" x14ac:dyDescent="0.25">
      <c r="A84" s="89">
        <v>50</v>
      </c>
      <c r="B84" s="87" t="s">
        <v>167</v>
      </c>
      <c r="C84" s="49" t="s">
        <v>324</v>
      </c>
      <c r="D84" s="48" t="s">
        <v>323</v>
      </c>
      <c r="E84" s="81"/>
      <c r="F84" s="82">
        <v>158000</v>
      </c>
      <c r="G84" s="82">
        <f>G83-F84</f>
        <v>51977300</v>
      </c>
    </row>
    <row r="85" spans="1:7" ht="24" x14ac:dyDescent="0.25">
      <c r="A85" s="89">
        <v>51</v>
      </c>
      <c r="B85" s="87" t="s">
        <v>167</v>
      </c>
      <c r="C85" s="108" t="s">
        <v>170</v>
      </c>
      <c r="D85" s="111"/>
      <c r="E85" s="93">
        <v>5000000</v>
      </c>
      <c r="F85" s="88"/>
      <c r="G85" s="82">
        <f>G84+E85</f>
        <v>56977300</v>
      </c>
    </row>
    <row r="86" spans="1:7" ht="51" x14ac:dyDescent="0.25">
      <c r="A86" s="89">
        <v>52</v>
      </c>
      <c r="B86" s="87" t="s">
        <v>167</v>
      </c>
      <c r="C86" s="104" t="s">
        <v>171</v>
      </c>
      <c r="D86" s="112" t="s">
        <v>67</v>
      </c>
      <c r="E86" s="31"/>
      <c r="F86" s="21">
        <v>5000000</v>
      </c>
      <c r="G86" s="82">
        <f>G85-F86</f>
        <v>51977300</v>
      </c>
    </row>
    <row r="87" spans="1:7" ht="51" x14ac:dyDescent="0.25">
      <c r="A87" s="89">
        <v>53</v>
      </c>
      <c r="B87" s="87" t="s">
        <v>226</v>
      </c>
      <c r="C87" s="49" t="s">
        <v>225</v>
      </c>
      <c r="D87" s="37" t="s">
        <v>83</v>
      </c>
      <c r="E87" s="31"/>
      <c r="F87" s="21">
        <v>1000000</v>
      </c>
      <c r="G87" s="82">
        <f>G86-F87</f>
        <v>50977300</v>
      </c>
    </row>
    <row r="88" spans="1:7" ht="51" x14ac:dyDescent="0.25">
      <c r="A88" s="89">
        <v>54</v>
      </c>
      <c r="B88" s="87" t="s">
        <v>226</v>
      </c>
      <c r="C88" s="110" t="s">
        <v>233</v>
      </c>
      <c r="D88" s="113" t="s">
        <v>232</v>
      </c>
      <c r="E88" s="31"/>
      <c r="F88" s="21">
        <v>500000</v>
      </c>
      <c r="G88" s="82">
        <f>G87-F88</f>
        <v>50477300</v>
      </c>
    </row>
    <row r="89" spans="1:7" ht="51" x14ac:dyDescent="0.25">
      <c r="A89" s="89">
        <v>55</v>
      </c>
      <c r="B89" s="87" t="s">
        <v>236</v>
      </c>
      <c r="C89" s="49" t="s">
        <v>234</v>
      </c>
      <c r="D89" s="37" t="s">
        <v>235</v>
      </c>
      <c r="E89" s="31"/>
      <c r="F89" s="21">
        <v>2000000</v>
      </c>
      <c r="G89" s="82">
        <f>G88-F89</f>
        <v>48477300</v>
      </c>
    </row>
    <row r="90" spans="1:7" x14ac:dyDescent="0.25">
      <c r="A90" s="89"/>
      <c r="B90" s="87"/>
      <c r="C90" s="49"/>
      <c r="D90" s="37"/>
      <c r="E90" s="31"/>
      <c r="F90" s="21"/>
      <c r="G90" s="82"/>
    </row>
    <row r="91" spans="1:7" x14ac:dyDescent="0.25">
      <c r="A91" s="89"/>
      <c r="B91" s="87"/>
      <c r="C91" s="49"/>
      <c r="D91" s="37"/>
      <c r="E91" s="31"/>
      <c r="F91" s="21"/>
      <c r="G91" s="82"/>
    </row>
    <row r="92" spans="1:7" ht="24" x14ac:dyDescent="0.25">
      <c r="A92" s="89">
        <v>56</v>
      </c>
      <c r="B92" s="87" t="s">
        <v>173</v>
      </c>
      <c r="C92" s="108" t="s">
        <v>172</v>
      </c>
      <c r="D92" s="92"/>
      <c r="E92" s="93">
        <v>5950000</v>
      </c>
      <c r="F92" s="82"/>
      <c r="G92" s="82">
        <f>G89+E92</f>
        <v>54427300</v>
      </c>
    </row>
    <row r="93" spans="1:7" ht="84" customHeight="1" x14ac:dyDescent="0.25">
      <c r="A93" s="89">
        <v>57</v>
      </c>
      <c r="B93" s="87" t="s">
        <v>173</v>
      </c>
      <c r="C93" s="66" t="s">
        <v>175</v>
      </c>
      <c r="D93" s="92" t="s">
        <v>174</v>
      </c>
      <c r="E93" s="81"/>
      <c r="F93" s="82">
        <v>2040000</v>
      </c>
      <c r="G93" s="82">
        <f>G92-F93</f>
        <v>52387300</v>
      </c>
    </row>
    <row r="94" spans="1:7" ht="83.25" customHeight="1" x14ac:dyDescent="0.25">
      <c r="A94" s="89">
        <v>58</v>
      </c>
      <c r="B94" s="87" t="s">
        <v>173</v>
      </c>
      <c r="C94" s="66" t="s">
        <v>177</v>
      </c>
      <c r="D94" s="92" t="s">
        <v>174</v>
      </c>
      <c r="E94" s="81"/>
      <c r="F94" s="82">
        <v>2040000</v>
      </c>
      <c r="G94" s="82">
        <f>G93-F94</f>
        <v>50347300</v>
      </c>
    </row>
    <row r="95" spans="1:7" ht="84.75" customHeight="1" x14ac:dyDescent="0.25">
      <c r="A95" s="89">
        <v>59</v>
      </c>
      <c r="B95" s="87" t="s">
        <v>173</v>
      </c>
      <c r="C95" s="66" t="s">
        <v>176</v>
      </c>
      <c r="D95" s="92" t="s">
        <v>174</v>
      </c>
      <c r="E95" s="81"/>
      <c r="F95" s="82">
        <v>1870000</v>
      </c>
      <c r="G95" s="82">
        <f>G94-F95</f>
        <v>48477300</v>
      </c>
    </row>
    <row r="96" spans="1:7" ht="26.25" customHeight="1" x14ac:dyDescent="0.25">
      <c r="A96" s="89">
        <v>60</v>
      </c>
      <c r="B96" s="87" t="s">
        <v>179</v>
      </c>
      <c r="C96" s="116" t="s">
        <v>178</v>
      </c>
      <c r="D96" s="114"/>
      <c r="E96" s="115">
        <v>1360000</v>
      </c>
      <c r="F96" s="91"/>
      <c r="G96" s="82">
        <f>G95+E96</f>
        <v>49837300</v>
      </c>
    </row>
    <row r="97" spans="1:7" ht="102" x14ac:dyDescent="0.25">
      <c r="A97" s="89">
        <v>61</v>
      </c>
      <c r="B97" s="87" t="s">
        <v>179</v>
      </c>
      <c r="C97" s="66" t="s">
        <v>202</v>
      </c>
      <c r="D97" s="92" t="s">
        <v>181</v>
      </c>
      <c r="E97" s="93"/>
      <c r="F97" s="82">
        <v>1360000</v>
      </c>
      <c r="G97" s="82">
        <f>G96-F97</f>
        <v>48477300</v>
      </c>
    </row>
    <row r="98" spans="1:7" ht="30.75" customHeight="1" x14ac:dyDescent="0.25">
      <c r="A98" s="89">
        <v>62</v>
      </c>
      <c r="B98" s="87" t="s">
        <v>179</v>
      </c>
      <c r="C98" s="116" t="s">
        <v>180</v>
      </c>
      <c r="D98" s="92"/>
      <c r="E98" s="93">
        <v>6800000</v>
      </c>
      <c r="F98" s="82"/>
      <c r="G98" s="82">
        <f>G97+E98</f>
        <v>55277300</v>
      </c>
    </row>
    <row r="99" spans="1:7" ht="108.75" customHeight="1" x14ac:dyDescent="0.25">
      <c r="A99" s="89">
        <v>63</v>
      </c>
      <c r="B99" s="87" t="s">
        <v>179</v>
      </c>
      <c r="C99" s="66" t="s">
        <v>198</v>
      </c>
      <c r="D99" s="92" t="s">
        <v>182</v>
      </c>
      <c r="E99" s="93"/>
      <c r="F99" s="82">
        <v>1700000</v>
      </c>
      <c r="G99" s="82">
        <f>G98-F99</f>
        <v>53577300</v>
      </c>
    </row>
    <row r="100" spans="1:7" ht="109.5" customHeight="1" x14ac:dyDescent="0.25">
      <c r="A100" s="89">
        <v>64</v>
      </c>
      <c r="B100" s="87" t="s">
        <v>179</v>
      </c>
      <c r="C100" s="66" t="s">
        <v>199</v>
      </c>
      <c r="D100" s="89" t="s">
        <v>182</v>
      </c>
      <c r="E100" s="88"/>
      <c r="F100" s="82">
        <v>1700000</v>
      </c>
      <c r="G100" s="82">
        <f>G99-F100</f>
        <v>51877300</v>
      </c>
    </row>
    <row r="101" spans="1:7" ht="97.5" customHeight="1" x14ac:dyDescent="0.25">
      <c r="A101" s="117">
        <v>65</v>
      </c>
      <c r="B101" s="118" t="s">
        <v>179</v>
      </c>
      <c r="C101" s="130" t="s">
        <v>200</v>
      </c>
      <c r="D101" s="117" t="s">
        <v>182</v>
      </c>
      <c r="E101" s="131"/>
      <c r="F101" s="119">
        <v>1700000</v>
      </c>
      <c r="G101" s="119">
        <f>G100-F101</f>
        <v>50177300</v>
      </c>
    </row>
    <row r="102" spans="1:7" ht="102" x14ac:dyDescent="0.25">
      <c r="A102" s="120">
        <v>66</v>
      </c>
      <c r="B102" s="121" t="s">
        <v>179</v>
      </c>
      <c r="C102" s="132" t="s">
        <v>201</v>
      </c>
      <c r="D102" s="120" t="s">
        <v>182</v>
      </c>
      <c r="E102" s="133"/>
      <c r="F102" s="124">
        <v>1700000</v>
      </c>
      <c r="G102" s="124">
        <f>G101-F102</f>
        <v>48477300</v>
      </c>
    </row>
    <row r="103" spans="1:7" ht="17.25" customHeight="1" x14ac:dyDescent="0.25">
      <c r="A103" s="89">
        <v>67</v>
      </c>
      <c r="B103" s="87" t="s">
        <v>183</v>
      </c>
      <c r="C103" s="116" t="s">
        <v>190</v>
      </c>
      <c r="D103" s="89"/>
      <c r="E103" s="88">
        <v>8670000</v>
      </c>
      <c r="F103" s="82"/>
      <c r="G103" s="82">
        <f>G102+E103</f>
        <v>57147300</v>
      </c>
    </row>
    <row r="104" spans="1:7" ht="91.5" customHeight="1" x14ac:dyDescent="0.25">
      <c r="A104" s="89">
        <v>68</v>
      </c>
      <c r="B104" s="87" t="s">
        <v>183</v>
      </c>
      <c r="C104" s="66" t="s">
        <v>191</v>
      </c>
      <c r="D104" s="89" t="s">
        <v>192</v>
      </c>
      <c r="E104" s="88"/>
      <c r="F104" s="82">
        <v>1360000</v>
      </c>
      <c r="G104" s="82">
        <f>G103-F104</f>
        <v>55787300</v>
      </c>
    </row>
    <row r="105" spans="1:7" ht="87" customHeight="1" x14ac:dyDescent="0.25">
      <c r="A105" s="89">
        <v>69</v>
      </c>
      <c r="B105" s="87" t="s">
        <v>183</v>
      </c>
      <c r="C105" s="66" t="s">
        <v>193</v>
      </c>
      <c r="D105" s="89" t="s">
        <v>192</v>
      </c>
      <c r="E105" s="88"/>
      <c r="F105" s="82">
        <v>1360000</v>
      </c>
      <c r="G105" s="82">
        <f>G104-F105</f>
        <v>54427300</v>
      </c>
    </row>
    <row r="106" spans="1:7" ht="95.25" customHeight="1" x14ac:dyDescent="0.25">
      <c r="A106" s="89">
        <v>70</v>
      </c>
      <c r="B106" s="87" t="s">
        <v>183</v>
      </c>
      <c r="C106" s="66" t="s">
        <v>194</v>
      </c>
      <c r="D106" s="89" t="s">
        <v>192</v>
      </c>
      <c r="E106" s="88"/>
      <c r="F106" s="82">
        <v>1360000</v>
      </c>
      <c r="G106" s="82">
        <f t="shared" ref="G106" si="4">G105-F106</f>
        <v>53067300</v>
      </c>
    </row>
    <row r="107" spans="1:7" ht="85.5" customHeight="1" x14ac:dyDescent="0.25">
      <c r="A107" s="89">
        <v>71</v>
      </c>
      <c r="B107" s="87" t="s">
        <v>183</v>
      </c>
      <c r="C107" s="66" t="s">
        <v>195</v>
      </c>
      <c r="D107" s="89" t="s">
        <v>192</v>
      </c>
      <c r="E107" s="88"/>
      <c r="F107" s="82">
        <v>1360000</v>
      </c>
      <c r="G107" s="82">
        <f>G106-F107</f>
        <v>51707300</v>
      </c>
    </row>
    <row r="108" spans="1:7" ht="96.75" customHeight="1" x14ac:dyDescent="0.25">
      <c r="A108" s="89">
        <v>72</v>
      </c>
      <c r="B108" s="87" t="s">
        <v>183</v>
      </c>
      <c r="C108" s="66" t="s">
        <v>196</v>
      </c>
      <c r="D108" s="89" t="s">
        <v>192</v>
      </c>
      <c r="E108" s="88"/>
      <c r="F108" s="82">
        <v>1530000</v>
      </c>
      <c r="G108" s="82">
        <f>G107-F108</f>
        <v>50177300</v>
      </c>
    </row>
    <row r="109" spans="1:7" ht="96" customHeight="1" x14ac:dyDescent="0.25">
      <c r="A109" s="89">
        <v>73</v>
      </c>
      <c r="B109" s="87" t="s">
        <v>183</v>
      </c>
      <c r="C109" s="66" t="s">
        <v>197</v>
      </c>
      <c r="D109" s="89" t="s">
        <v>192</v>
      </c>
      <c r="E109" s="88"/>
      <c r="F109" s="82">
        <v>1700000</v>
      </c>
      <c r="G109" s="82">
        <f>G108-F109</f>
        <v>48477300</v>
      </c>
    </row>
    <row r="110" spans="1:7" ht="15.75" customHeight="1" x14ac:dyDescent="0.25">
      <c r="A110" s="89">
        <v>74</v>
      </c>
      <c r="B110" s="87" t="s">
        <v>183</v>
      </c>
      <c r="C110" s="116" t="s">
        <v>184</v>
      </c>
      <c r="D110" s="89"/>
      <c r="E110" s="88">
        <v>4250000</v>
      </c>
      <c r="F110" s="82"/>
      <c r="G110" s="82">
        <f>G109+E110</f>
        <v>52727300</v>
      </c>
    </row>
    <row r="111" spans="1:7" ht="103.5" customHeight="1" x14ac:dyDescent="0.25">
      <c r="A111" s="89">
        <v>75</v>
      </c>
      <c r="B111" s="87" t="s">
        <v>183</v>
      </c>
      <c r="C111" s="66" t="s">
        <v>185</v>
      </c>
      <c r="D111" s="92" t="s">
        <v>160</v>
      </c>
      <c r="E111" s="81"/>
      <c r="F111" s="82">
        <v>1020000</v>
      </c>
      <c r="G111" s="82">
        <f>G110-F111</f>
        <v>51707300</v>
      </c>
    </row>
    <row r="112" spans="1:7" ht="105" customHeight="1" x14ac:dyDescent="0.25">
      <c r="A112" s="89">
        <v>76</v>
      </c>
      <c r="B112" s="87" t="s">
        <v>183</v>
      </c>
      <c r="C112" s="66" t="s">
        <v>186</v>
      </c>
      <c r="D112" s="92" t="s">
        <v>160</v>
      </c>
      <c r="E112" s="81"/>
      <c r="F112" s="82">
        <v>1020000</v>
      </c>
      <c r="G112" s="82">
        <f>G111-F112</f>
        <v>50687300</v>
      </c>
    </row>
    <row r="113" spans="1:7" ht="105.75" customHeight="1" x14ac:dyDescent="0.25">
      <c r="A113" s="89">
        <v>77</v>
      </c>
      <c r="B113" s="87" t="s">
        <v>183</v>
      </c>
      <c r="C113" s="66" t="s">
        <v>187</v>
      </c>
      <c r="D113" s="92" t="s">
        <v>160</v>
      </c>
      <c r="E113" s="81"/>
      <c r="F113" s="82">
        <v>1020000</v>
      </c>
      <c r="G113" s="82">
        <f>G112-F113</f>
        <v>49667300</v>
      </c>
    </row>
    <row r="114" spans="1:7" ht="107.25" customHeight="1" x14ac:dyDescent="0.25">
      <c r="A114" s="117">
        <v>78</v>
      </c>
      <c r="B114" s="118" t="s">
        <v>183</v>
      </c>
      <c r="C114" s="130" t="s">
        <v>188</v>
      </c>
      <c r="D114" s="134" t="s">
        <v>160</v>
      </c>
      <c r="E114" s="126"/>
      <c r="F114" s="119">
        <v>510000</v>
      </c>
      <c r="G114" s="119">
        <f t="shared" ref="G114" si="5">G113-F114</f>
        <v>49157300</v>
      </c>
    </row>
    <row r="115" spans="1:7" ht="107.25" customHeight="1" x14ac:dyDescent="0.25">
      <c r="A115" s="120">
        <v>79</v>
      </c>
      <c r="B115" s="121" t="s">
        <v>183</v>
      </c>
      <c r="C115" s="132" t="s">
        <v>189</v>
      </c>
      <c r="D115" s="135" t="s">
        <v>160</v>
      </c>
      <c r="E115" s="129"/>
      <c r="F115" s="124">
        <v>680000</v>
      </c>
      <c r="G115" s="124">
        <f>G114-F115</f>
        <v>48477300</v>
      </c>
    </row>
    <row r="116" spans="1:7" ht="66.75" customHeight="1" x14ac:dyDescent="0.25">
      <c r="A116" s="89">
        <v>80</v>
      </c>
      <c r="B116" s="87" t="s">
        <v>203</v>
      </c>
      <c r="C116" s="32" t="s">
        <v>237</v>
      </c>
      <c r="D116" s="51" t="s">
        <v>104</v>
      </c>
      <c r="E116" s="82"/>
      <c r="F116" s="82">
        <v>4255600</v>
      </c>
      <c r="G116" s="82">
        <f t="shared" ref="G116:G128" si="6">G115-F116</f>
        <v>44221700</v>
      </c>
    </row>
    <row r="117" spans="1:7" ht="66" customHeight="1" x14ac:dyDescent="0.25">
      <c r="A117" s="89">
        <v>81</v>
      </c>
      <c r="B117" s="87" t="s">
        <v>203</v>
      </c>
      <c r="C117" s="32" t="s">
        <v>238</v>
      </c>
      <c r="D117" s="51" t="s">
        <v>104</v>
      </c>
      <c r="E117" s="82"/>
      <c r="F117" s="82">
        <v>564400</v>
      </c>
      <c r="G117" s="82">
        <f t="shared" si="6"/>
        <v>43657300</v>
      </c>
    </row>
    <row r="118" spans="1:7" ht="70.5" customHeight="1" x14ac:dyDescent="0.25">
      <c r="A118" s="89">
        <v>82</v>
      </c>
      <c r="B118" s="87" t="s">
        <v>203</v>
      </c>
      <c r="C118" s="32" t="s">
        <v>237</v>
      </c>
      <c r="D118" s="51" t="s">
        <v>104</v>
      </c>
      <c r="E118" s="82"/>
      <c r="F118" s="82">
        <v>2572400</v>
      </c>
      <c r="G118" s="82">
        <f t="shared" si="6"/>
        <v>41084900</v>
      </c>
    </row>
    <row r="119" spans="1:7" ht="75" customHeight="1" x14ac:dyDescent="0.25">
      <c r="A119" s="89">
        <v>83</v>
      </c>
      <c r="B119" s="87" t="s">
        <v>203</v>
      </c>
      <c r="C119" s="32" t="s">
        <v>239</v>
      </c>
      <c r="D119" s="51" t="s">
        <v>104</v>
      </c>
      <c r="E119" s="82"/>
      <c r="F119" s="82">
        <v>1696800</v>
      </c>
      <c r="G119" s="82">
        <f t="shared" si="6"/>
        <v>39388100</v>
      </c>
    </row>
    <row r="120" spans="1:7" ht="75.75" customHeight="1" x14ac:dyDescent="0.25">
      <c r="A120" s="89">
        <v>84</v>
      </c>
      <c r="B120" s="87" t="s">
        <v>203</v>
      </c>
      <c r="C120" s="32" t="s">
        <v>237</v>
      </c>
      <c r="D120" s="51" t="s">
        <v>104</v>
      </c>
      <c r="E120" s="82"/>
      <c r="F120" s="82">
        <v>1364400</v>
      </c>
      <c r="G120" s="82">
        <f t="shared" si="6"/>
        <v>38023700</v>
      </c>
    </row>
    <row r="121" spans="1:7" ht="17.25" customHeight="1" x14ac:dyDescent="0.25">
      <c r="A121" s="89">
        <v>85</v>
      </c>
      <c r="B121" s="87" t="s">
        <v>203</v>
      </c>
      <c r="C121" s="116" t="s">
        <v>210</v>
      </c>
      <c r="D121" s="89"/>
      <c r="E121" s="88">
        <v>8160000</v>
      </c>
      <c r="F121" s="82"/>
      <c r="G121" s="82">
        <f>G120+E121</f>
        <v>46183700</v>
      </c>
    </row>
    <row r="122" spans="1:7" ht="111" customHeight="1" x14ac:dyDescent="0.25">
      <c r="A122" s="89">
        <v>86</v>
      </c>
      <c r="B122" s="87" t="s">
        <v>203</v>
      </c>
      <c r="C122" s="66" t="s">
        <v>215</v>
      </c>
      <c r="D122" s="92" t="s">
        <v>338</v>
      </c>
      <c r="E122" s="81"/>
      <c r="F122" s="82">
        <v>850000</v>
      </c>
      <c r="G122" s="82">
        <f t="shared" si="6"/>
        <v>45333700</v>
      </c>
    </row>
    <row r="123" spans="1:7" ht="105.75" customHeight="1" x14ac:dyDescent="0.25">
      <c r="A123" s="89">
        <v>87</v>
      </c>
      <c r="B123" s="87" t="s">
        <v>203</v>
      </c>
      <c r="C123" s="66" t="s">
        <v>214</v>
      </c>
      <c r="D123" s="92" t="s">
        <v>338</v>
      </c>
      <c r="E123" s="81"/>
      <c r="F123" s="82">
        <v>850000</v>
      </c>
      <c r="G123" s="82">
        <f t="shared" si="6"/>
        <v>44483700</v>
      </c>
    </row>
    <row r="124" spans="1:7" ht="105.75" customHeight="1" x14ac:dyDescent="0.25">
      <c r="A124" s="89">
        <v>88</v>
      </c>
      <c r="B124" s="87" t="s">
        <v>203</v>
      </c>
      <c r="C124" s="66" t="s">
        <v>213</v>
      </c>
      <c r="D124" s="92" t="s">
        <v>338</v>
      </c>
      <c r="E124" s="81"/>
      <c r="F124" s="82">
        <v>850000</v>
      </c>
      <c r="G124" s="82">
        <f t="shared" si="6"/>
        <v>43633700</v>
      </c>
    </row>
    <row r="125" spans="1:7" ht="106.5" customHeight="1" x14ac:dyDescent="0.25">
      <c r="A125" s="89">
        <v>89</v>
      </c>
      <c r="B125" s="87" t="s">
        <v>203</v>
      </c>
      <c r="C125" s="66" t="s">
        <v>212</v>
      </c>
      <c r="D125" s="92" t="s">
        <v>338</v>
      </c>
      <c r="E125" s="81"/>
      <c r="F125" s="82">
        <v>850000</v>
      </c>
      <c r="G125" s="82">
        <f>G124-F125</f>
        <v>42783700</v>
      </c>
    </row>
    <row r="126" spans="1:7" ht="106.5" customHeight="1" x14ac:dyDescent="0.25">
      <c r="A126" s="89">
        <v>90</v>
      </c>
      <c r="B126" s="87" t="s">
        <v>203</v>
      </c>
      <c r="C126" s="66" t="s">
        <v>211</v>
      </c>
      <c r="D126" s="92" t="s">
        <v>338</v>
      </c>
      <c r="E126" s="81"/>
      <c r="F126" s="82">
        <v>680000</v>
      </c>
      <c r="G126" s="82">
        <f>G125-F126</f>
        <v>42103700</v>
      </c>
    </row>
    <row r="127" spans="1:7" ht="114" customHeight="1" x14ac:dyDescent="0.25">
      <c r="A127" s="117">
        <v>91</v>
      </c>
      <c r="B127" s="118" t="s">
        <v>203</v>
      </c>
      <c r="C127" s="130" t="s">
        <v>219</v>
      </c>
      <c r="D127" s="134" t="s">
        <v>338</v>
      </c>
      <c r="E127" s="126"/>
      <c r="F127" s="136">
        <v>1020000</v>
      </c>
      <c r="G127" s="126">
        <f>G126-F127</f>
        <v>41083700</v>
      </c>
    </row>
    <row r="128" spans="1:7" ht="110.25" customHeight="1" x14ac:dyDescent="0.25">
      <c r="A128" s="120">
        <v>92</v>
      </c>
      <c r="B128" s="121" t="s">
        <v>203</v>
      </c>
      <c r="C128" s="132" t="s">
        <v>216</v>
      </c>
      <c r="D128" s="135" t="s">
        <v>338</v>
      </c>
      <c r="E128" s="129"/>
      <c r="F128" s="124">
        <v>1360000</v>
      </c>
      <c r="G128" s="124">
        <f t="shared" si="6"/>
        <v>39723700</v>
      </c>
    </row>
    <row r="129" spans="1:7" ht="111.75" customHeight="1" x14ac:dyDescent="0.25">
      <c r="A129" s="89">
        <v>93</v>
      </c>
      <c r="B129" s="87" t="s">
        <v>203</v>
      </c>
      <c r="C129" s="66" t="s">
        <v>217</v>
      </c>
      <c r="D129" s="92" t="s">
        <v>338</v>
      </c>
      <c r="E129" s="81"/>
      <c r="F129" s="82">
        <v>680000</v>
      </c>
      <c r="G129" s="82">
        <f>G128-F129</f>
        <v>39043700</v>
      </c>
    </row>
    <row r="130" spans="1:7" ht="111.75" customHeight="1" x14ac:dyDescent="0.25">
      <c r="A130" s="89">
        <v>94</v>
      </c>
      <c r="B130" s="87" t="s">
        <v>203</v>
      </c>
      <c r="C130" s="66" t="s">
        <v>218</v>
      </c>
      <c r="D130" s="92" t="s">
        <v>338</v>
      </c>
      <c r="E130" s="81"/>
      <c r="F130" s="82">
        <v>1020000</v>
      </c>
      <c r="G130" s="82">
        <f>G129-F130</f>
        <v>38023700</v>
      </c>
    </row>
    <row r="131" spans="1:7" ht="18.75" customHeight="1" x14ac:dyDescent="0.25">
      <c r="A131" s="89">
        <v>95</v>
      </c>
      <c r="B131" s="87" t="s">
        <v>203</v>
      </c>
      <c r="C131" s="116" t="s">
        <v>208</v>
      </c>
      <c r="D131" s="89"/>
      <c r="E131" s="88">
        <v>38080000</v>
      </c>
      <c r="F131" s="82"/>
      <c r="G131" s="82">
        <f>G130+E131</f>
        <v>76103700</v>
      </c>
    </row>
    <row r="132" spans="1:7" ht="96" customHeight="1" x14ac:dyDescent="0.25">
      <c r="A132" s="89">
        <v>96</v>
      </c>
      <c r="B132" s="87" t="s">
        <v>203</v>
      </c>
      <c r="C132" s="66" t="s">
        <v>205</v>
      </c>
      <c r="D132" s="89" t="s">
        <v>192</v>
      </c>
      <c r="E132" s="82"/>
      <c r="F132" s="82">
        <v>7480000</v>
      </c>
      <c r="G132" s="82">
        <f>G131-F132</f>
        <v>68623700</v>
      </c>
    </row>
    <row r="133" spans="1:7" ht="99" customHeight="1" x14ac:dyDescent="0.25">
      <c r="A133" s="89">
        <v>97</v>
      </c>
      <c r="B133" s="87" t="s">
        <v>203</v>
      </c>
      <c r="C133" s="66" t="s">
        <v>204</v>
      </c>
      <c r="D133" s="89" t="s">
        <v>192</v>
      </c>
      <c r="E133" s="82"/>
      <c r="F133" s="82">
        <v>7820000</v>
      </c>
      <c r="G133" s="82">
        <f t="shared" ref="G133:G136" si="7">G132-F133</f>
        <v>60803700</v>
      </c>
    </row>
    <row r="134" spans="1:7" ht="93" customHeight="1" x14ac:dyDescent="0.25">
      <c r="A134" s="89">
        <v>98</v>
      </c>
      <c r="B134" s="87" t="s">
        <v>203</v>
      </c>
      <c r="C134" s="66" t="s">
        <v>206</v>
      </c>
      <c r="D134" s="89" t="s">
        <v>192</v>
      </c>
      <c r="E134" s="82"/>
      <c r="F134" s="82">
        <v>7480000</v>
      </c>
      <c r="G134" s="82">
        <f t="shared" si="7"/>
        <v>53323700</v>
      </c>
    </row>
    <row r="135" spans="1:7" ht="95.25" customHeight="1" x14ac:dyDescent="0.25">
      <c r="A135" s="89">
        <v>99</v>
      </c>
      <c r="B135" s="87" t="s">
        <v>203</v>
      </c>
      <c r="C135" s="66" t="s">
        <v>207</v>
      </c>
      <c r="D135" s="89" t="s">
        <v>192</v>
      </c>
      <c r="E135" s="82"/>
      <c r="F135" s="82">
        <v>7820000</v>
      </c>
      <c r="G135" s="82">
        <f t="shared" si="7"/>
        <v>45503700</v>
      </c>
    </row>
    <row r="136" spans="1:7" ht="96.75" customHeight="1" x14ac:dyDescent="0.25">
      <c r="A136" s="89">
        <v>100</v>
      </c>
      <c r="B136" s="87" t="s">
        <v>203</v>
      </c>
      <c r="C136" s="66" t="s">
        <v>209</v>
      </c>
      <c r="D136" s="89" t="s">
        <v>192</v>
      </c>
      <c r="E136" s="82"/>
      <c r="F136" s="82">
        <v>7480000</v>
      </c>
      <c r="G136" s="82">
        <f t="shared" si="7"/>
        <v>38023700</v>
      </c>
    </row>
    <row r="137" spans="1:7" ht="73.5" customHeight="1" x14ac:dyDescent="0.25">
      <c r="A137" s="89">
        <v>101</v>
      </c>
      <c r="B137" s="87" t="s">
        <v>227</v>
      </c>
      <c r="C137" s="66" t="s">
        <v>228</v>
      </c>
      <c r="D137" s="89" t="s">
        <v>84</v>
      </c>
      <c r="E137" s="82"/>
      <c r="F137" s="82">
        <v>3440000</v>
      </c>
      <c r="G137" s="82">
        <f>G136-F137</f>
        <v>34583700</v>
      </c>
    </row>
    <row r="138" spans="1:7" ht="57" customHeight="1" x14ac:dyDescent="0.25">
      <c r="A138" s="89">
        <v>102</v>
      </c>
      <c r="B138" s="87" t="s">
        <v>266</v>
      </c>
      <c r="C138" s="49" t="s">
        <v>267</v>
      </c>
      <c r="D138" s="48" t="s">
        <v>268</v>
      </c>
      <c r="E138" s="81"/>
      <c r="F138" s="82">
        <v>1650000</v>
      </c>
      <c r="G138" s="82">
        <f t="shared" ref="G138" si="8">G137-F138</f>
        <v>32933700</v>
      </c>
    </row>
    <row r="139" spans="1:7" ht="57" customHeight="1" x14ac:dyDescent="0.25">
      <c r="A139" s="89">
        <v>103</v>
      </c>
      <c r="B139" s="87" t="s">
        <v>266</v>
      </c>
      <c r="C139" s="49" t="s">
        <v>282</v>
      </c>
      <c r="D139" s="48" t="s">
        <v>281</v>
      </c>
      <c r="E139" s="81"/>
      <c r="F139" s="82">
        <v>1600000</v>
      </c>
      <c r="G139" s="82">
        <f>G138-F139</f>
        <v>31333700</v>
      </c>
    </row>
    <row r="140" spans="1:7" ht="20.25" customHeight="1" x14ac:dyDescent="0.25">
      <c r="A140" s="89">
        <v>104</v>
      </c>
      <c r="B140" s="87" t="s">
        <v>220</v>
      </c>
      <c r="C140" s="116" t="s">
        <v>221</v>
      </c>
      <c r="D140" s="89"/>
      <c r="E140" s="88">
        <v>4968000</v>
      </c>
      <c r="F140" s="82"/>
      <c r="G140" s="82">
        <f>G139+E140</f>
        <v>36301700</v>
      </c>
    </row>
    <row r="141" spans="1:7" ht="66.75" customHeight="1" x14ac:dyDescent="0.25">
      <c r="A141" s="89">
        <v>105</v>
      </c>
      <c r="B141" s="87" t="s">
        <v>220</v>
      </c>
      <c r="C141" s="49" t="s">
        <v>223</v>
      </c>
      <c r="D141" s="109" t="s">
        <v>222</v>
      </c>
      <c r="E141" s="82"/>
      <c r="F141" s="82">
        <v>4968000</v>
      </c>
      <c r="G141" s="82">
        <f t="shared" ref="G141:G149" si="9">G140-F141</f>
        <v>31333700</v>
      </c>
    </row>
    <row r="142" spans="1:7" ht="73.5" customHeight="1" x14ac:dyDescent="0.25">
      <c r="A142" s="89">
        <v>106</v>
      </c>
      <c r="B142" s="87" t="s">
        <v>244</v>
      </c>
      <c r="C142" s="32" t="s">
        <v>245</v>
      </c>
      <c r="D142" s="51" t="s">
        <v>107</v>
      </c>
      <c r="E142" s="82"/>
      <c r="F142" s="82">
        <v>985000</v>
      </c>
      <c r="G142" s="82">
        <f t="shared" si="9"/>
        <v>30348700</v>
      </c>
    </row>
    <row r="143" spans="1:7" ht="81.75" customHeight="1" x14ac:dyDescent="0.25">
      <c r="A143" s="89">
        <v>107</v>
      </c>
      <c r="B143" s="87" t="s">
        <v>244</v>
      </c>
      <c r="C143" s="137" t="s">
        <v>339</v>
      </c>
      <c r="D143" s="35" t="s">
        <v>283</v>
      </c>
      <c r="E143" s="82"/>
      <c r="F143" s="82">
        <v>1720000</v>
      </c>
      <c r="G143" s="82">
        <f t="shared" si="9"/>
        <v>28628700</v>
      </c>
    </row>
    <row r="144" spans="1:7" ht="57" customHeight="1" x14ac:dyDescent="0.25">
      <c r="A144" s="89">
        <v>108</v>
      </c>
      <c r="B144" s="87" t="s">
        <v>325</v>
      </c>
      <c r="C144" s="49" t="s">
        <v>328</v>
      </c>
      <c r="D144" s="48" t="s">
        <v>326</v>
      </c>
      <c r="E144" s="81"/>
      <c r="F144" s="82">
        <v>625000</v>
      </c>
      <c r="G144" s="82">
        <f t="shared" si="9"/>
        <v>28003700</v>
      </c>
    </row>
    <row r="145" spans="1:7" ht="67.5" customHeight="1" x14ac:dyDescent="0.25">
      <c r="A145" s="89">
        <v>109</v>
      </c>
      <c r="B145" s="87" t="s">
        <v>325</v>
      </c>
      <c r="C145" s="49" t="s">
        <v>329</v>
      </c>
      <c r="D145" s="48" t="s">
        <v>327</v>
      </c>
      <c r="E145" s="81"/>
      <c r="F145" s="82">
        <v>921700</v>
      </c>
      <c r="G145" s="82">
        <f t="shared" si="9"/>
        <v>27082000</v>
      </c>
    </row>
    <row r="146" spans="1:7" ht="56.25" customHeight="1" x14ac:dyDescent="0.25">
      <c r="A146" s="89">
        <v>110</v>
      </c>
      <c r="B146" s="87" t="s">
        <v>325</v>
      </c>
      <c r="C146" s="49" t="s">
        <v>335</v>
      </c>
      <c r="D146" s="48" t="s">
        <v>330</v>
      </c>
      <c r="E146" s="81"/>
      <c r="F146" s="82">
        <v>849800</v>
      </c>
      <c r="G146" s="82">
        <f t="shared" si="9"/>
        <v>26232200</v>
      </c>
    </row>
    <row r="147" spans="1:7" ht="54.75" customHeight="1" x14ac:dyDescent="0.25">
      <c r="A147" s="89">
        <v>111</v>
      </c>
      <c r="B147" s="87" t="s">
        <v>325</v>
      </c>
      <c r="C147" s="49" t="s">
        <v>336</v>
      </c>
      <c r="D147" s="48" t="s">
        <v>332</v>
      </c>
      <c r="E147" s="81"/>
      <c r="F147" s="82">
        <v>367700</v>
      </c>
      <c r="G147" s="82">
        <f t="shared" si="9"/>
        <v>25864500</v>
      </c>
    </row>
    <row r="148" spans="1:7" ht="61.5" customHeight="1" x14ac:dyDescent="0.25">
      <c r="A148" s="89">
        <v>112</v>
      </c>
      <c r="B148" s="87" t="s">
        <v>325</v>
      </c>
      <c r="C148" s="49" t="s">
        <v>337</v>
      </c>
      <c r="D148" s="48" t="s">
        <v>333</v>
      </c>
      <c r="E148" s="81"/>
      <c r="F148" s="82">
        <v>1000500</v>
      </c>
      <c r="G148" s="82">
        <f t="shared" si="9"/>
        <v>24864000</v>
      </c>
    </row>
    <row r="149" spans="1:7" ht="60" customHeight="1" x14ac:dyDescent="0.25">
      <c r="A149" s="89">
        <v>113</v>
      </c>
      <c r="B149" s="87" t="s">
        <v>325</v>
      </c>
      <c r="C149" s="49" t="s">
        <v>331</v>
      </c>
      <c r="D149" s="48" t="s">
        <v>334</v>
      </c>
      <c r="E149" s="81"/>
      <c r="F149" s="81">
        <v>458000</v>
      </c>
      <c r="G149" s="82">
        <f t="shared" si="9"/>
        <v>24406000</v>
      </c>
    </row>
    <row r="150" spans="1:7" x14ac:dyDescent="0.25">
      <c r="A150" s="89"/>
      <c r="B150" s="39"/>
      <c r="C150" s="83"/>
      <c r="D150" s="84"/>
      <c r="E150" s="85"/>
      <c r="F150" s="86"/>
      <c r="G150" s="80"/>
    </row>
  </sheetData>
  <pageMargins left="0.70866141732283472" right="0.70866141732283472" top="0.74803149606299213" bottom="0.74803149606299213" header="0.31496062992125984" footer="0.31496062992125984"/>
  <pageSetup scale="6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JANUARI</vt:lpstr>
      <vt:lpstr>FEBRUARI</vt:lpstr>
      <vt:lpstr>FEBRUARI!Print_Area</vt:lpstr>
      <vt:lpstr>JANUARI!Print_Area</vt:lpstr>
      <vt:lpstr>JANUARI!Print_Titles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Agil</cp:lastModifiedBy>
  <cp:lastPrinted>2026-03-05T07:51:09Z</cp:lastPrinted>
  <dcterms:created xsi:type="dcterms:W3CDTF">2024-02-19T00:24:02Z</dcterms:created>
  <dcterms:modified xsi:type="dcterms:W3CDTF">2026-04-07T13:33:24Z</dcterms:modified>
</cp:coreProperties>
</file>